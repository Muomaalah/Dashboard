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hedee/Library/CloudStorage/OneDrive-GhanaWaterCompanyLimited/Project Planning &amp; Development/Private Projects/Kay Pee/Accra North Region/"/>
    </mc:Choice>
  </mc:AlternateContent>
  <xr:revisionPtr revIDLastSave="0" documentId="13_ncr:1_{D97ECEBE-E2D6-5045-9428-9AA2D4135C39}" xr6:coauthVersionLast="47" xr6:coauthVersionMax="47" xr10:uidLastSave="{00000000-0000-0000-0000-000000000000}"/>
  <bookViews>
    <workbookView xWindow="0" yWindow="680" windowWidth="30240" windowHeight="18960" xr2:uid="{E622ED36-5A52-4680-AE38-C640E1F720CB}"/>
  </bookViews>
  <sheets>
    <sheet name="Dashboard" sheetId="9" r:id="rId1"/>
    <sheet name="Targets" sheetId="10" r:id="rId2"/>
    <sheet name="Customers" sheetId="6" r:id="rId3"/>
    <sheet name="Billing &amp; Collection" sheetId="3" r:id="rId4"/>
    <sheet name="NRW" sheetId="7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102" i="9" l="1"/>
  <c r="AD102" i="9"/>
  <c r="AE102" i="9"/>
  <c r="AF102" i="9"/>
  <c r="AG102" i="9"/>
  <c r="AH102" i="9"/>
  <c r="AI102" i="9"/>
  <c r="AJ102" i="9"/>
  <c r="AK102" i="9"/>
  <c r="AL102" i="9"/>
  <c r="AM102" i="9"/>
  <c r="AN102" i="9"/>
  <c r="AO102" i="9"/>
  <c r="AP102" i="9"/>
  <c r="AQ102" i="9"/>
  <c r="AR102" i="9"/>
  <c r="AS102" i="9"/>
  <c r="AT102" i="9"/>
  <c r="AU102" i="9"/>
  <c r="AV102" i="9"/>
  <c r="AW102" i="9"/>
  <c r="AC101" i="9"/>
  <c r="AD101" i="9"/>
  <c r="AE101" i="9"/>
  <c r="AF101" i="9"/>
  <c r="AG101" i="9"/>
  <c r="AH101" i="9"/>
  <c r="AI101" i="9"/>
  <c r="AJ101" i="9"/>
  <c r="AK101" i="9"/>
  <c r="AL101" i="9"/>
  <c r="AM101" i="9"/>
  <c r="AN101" i="9"/>
  <c r="AO101" i="9"/>
  <c r="AP101" i="9"/>
  <c r="AQ101" i="9"/>
  <c r="AR101" i="9"/>
  <c r="AS101" i="9"/>
  <c r="AT101" i="9"/>
  <c r="AU101" i="9"/>
  <c r="AV101" i="9"/>
  <c r="AW101" i="9"/>
  <c r="C88" i="9"/>
  <c r="D88" i="9"/>
  <c r="E88" i="9"/>
  <c r="F88" i="9"/>
  <c r="G88" i="9"/>
  <c r="H88" i="9"/>
  <c r="I88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AJ88" i="9"/>
  <c r="AK88" i="9"/>
  <c r="AL88" i="9"/>
  <c r="AM88" i="9"/>
  <c r="AN88" i="9"/>
  <c r="AO88" i="9"/>
  <c r="AP88" i="9"/>
  <c r="AQ88" i="9"/>
  <c r="AR88" i="9"/>
  <c r="AS88" i="9"/>
  <c r="AT88" i="9"/>
  <c r="AU88" i="9"/>
  <c r="AV88" i="9"/>
  <c r="AW88" i="9"/>
  <c r="C87" i="9"/>
  <c r="D87" i="9"/>
  <c r="E87" i="9"/>
  <c r="F87" i="9"/>
  <c r="G87" i="9"/>
  <c r="H87" i="9"/>
  <c r="I87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AJ87" i="9"/>
  <c r="AK87" i="9"/>
  <c r="AL87" i="9"/>
  <c r="AM87" i="9"/>
  <c r="AN87" i="9"/>
  <c r="AO87" i="9"/>
  <c r="AP87" i="9"/>
  <c r="AQ87" i="9"/>
  <c r="AR87" i="9"/>
  <c r="AS87" i="9"/>
  <c r="AT87" i="9"/>
  <c r="AU87" i="9"/>
  <c r="AV87" i="9"/>
  <c r="AW87" i="9"/>
  <c r="C86" i="9"/>
  <c r="D86" i="9"/>
  <c r="E86" i="9"/>
  <c r="F86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AJ86" i="9"/>
  <c r="AK86" i="9"/>
  <c r="AL86" i="9"/>
  <c r="AM86" i="9"/>
  <c r="AN86" i="9"/>
  <c r="AO86" i="9"/>
  <c r="AP86" i="9"/>
  <c r="AQ86" i="9"/>
  <c r="AR86" i="9"/>
  <c r="AS86" i="9"/>
  <c r="AT86" i="9"/>
  <c r="AU86" i="9"/>
  <c r="AV86" i="9"/>
  <c r="AW86" i="9"/>
  <c r="C85" i="9"/>
  <c r="D85" i="9"/>
  <c r="E85" i="9"/>
  <c r="F85" i="9"/>
  <c r="G85" i="9"/>
  <c r="H85" i="9"/>
  <c r="I85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AJ85" i="9"/>
  <c r="AK85" i="9"/>
  <c r="AL85" i="9"/>
  <c r="AM85" i="9"/>
  <c r="AN85" i="9"/>
  <c r="AO85" i="9"/>
  <c r="AP85" i="9"/>
  <c r="AQ85" i="9"/>
  <c r="AR85" i="9"/>
  <c r="AS85" i="9"/>
  <c r="AT85" i="9"/>
  <c r="AU85" i="9"/>
  <c r="AV85" i="9"/>
  <c r="AW85" i="9"/>
  <c r="B88" i="9"/>
  <c r="B87" i="9"/>
  <c r="B86" i="9"/>
  <c r="B85" i="9"/>
  <c r="AE21" i="3"/>
  <c r="AE13" i="3"/>
  <c r="AE5" i="3"/>
  <c r="C111" i="9"/>
  <c r="D111" i="9"/>
  <c r="E111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AJ111" i="9"/>
  <c r="AK111" i="9"/>
  <c r="AL111" i="9"/>
  <c r="AM111" i="9"/>
  <c r="AN111" i="9"/>
  <c r="AO111" i="9"/>
  <c r="AP111" i="9"/>
  <c r="AQ111" i="9"/>
  <c r="AR111" i="9"/>
  <c r="AS111" i="9"/>
  <c r="AT111" i="9"/>
  <c r="AU111" i="9"/>
  <c r="AV111" i="9"/>
  <c r="AW111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AJ110" i="9"/>
  <c r="AK110" i="9"/>
  <c r="AL110" i="9"/>
  <c r="AM110" i="9"/>
  <c r="AN110" i="9"/>
  <c r="AO110" i="9"/>
  <c r="AP110" i="9"/>
  <c r="AQ110" i="9"/>
  <c r="AR110" i="9"/>
  <c r="AS110" i="9"/>
  <c r="AT110" i="9"/>
  <c r="AU110" i="9"/>
  <c r="AV110" i="9"/>
  <c r="AW110" i="9"/>
  <c r="C109" i="9"/>
  <c r="G109" i="9"/>
  <c r="H109" i="9"/>
  <c r="I109" i="9"/>
  <c r="J109" i="9"/>
  <c r="K109" i="9"/>
  <c r="O109" i="9"/>
  <c r="P109" i="9"/>
  <c r="Q109" i="9"/>
  <c r="R109" i="9"/>
  <c r="S109" i="9"/>
  <c r="W109" i="9"/>
  <c r="X109" i="9"/>
  <c r="Y109" i="9"/>
  <c r="Z109" i="9"/>
  <c r="AA109" i="9"/>
  <c r="AE109" i="9"/>
  <c r="AF109" i="9"/>
  <c r="AG109" i="9"/>
  <c r="AH109" i="9"/>
  <c r="AI109" i="9"/>
  <c r="AM109" i="9"/>
  <c r="AN109" i="9"/>
  <c r="AO109" i="9"/>
  <c r="AP109" i="9"/>
  <c r="AQ109" i="9"/>
  <c r="AU109" i="9"/>
  <c r="AV109" i="9"/>
  <c r="AW109" i="9"/>
  <c r="C108" i="9"/>
  <c r="D108" i="9"/>
  <c r="D109" i="9" s="1"/>
  <c r="E108" i="9"/>
  <c r="E109" i="9" s="1"/>
  <c r="F108" i="9"/>
  <c r="F109" i="9" s="1"/>
  <c r="G108" i="9"/>
  <c r="H108" i="9"/>
  <c r="I108" i="9"/>
  <c r="J108" i="9"/>
  <c r="K108" i="9"/>
  <c r="L108" i="9"/>
  <c r="L109" i="9" s="1"/>
  <c r="M108" i="9"/>
  <c r="M109" i="9" s="1"/>
  <c r="N108" i="9"/>
  <c r="N109" i="9" s="1"/>
  <c r="O108" i="9"/>
  <c r="P108" i="9"/>
  <c r="Q108" i="9"/>
  <c r="R108" i="9"/>
  <c r="S108" i="9"/>
  <c r="T108" i="9"/>
  <c r="T109" i="9" s="1"/>
  <c r="U108" i="9"/>
  <c r="U109" i="9" s="1"/>
  <c r="V108" i="9"/>
  <c r="V109" i="9" s="1"/>
  <c r="W108" i="9"/>
  <c r="X108" i="9"/>
  <c r="Y108" i="9"/>
  <c r="Z108" i="9"/>
  <c r="AA108" i="9"/>
  <c r="AB108" i="9"/>
  <c r="AB109" i="9" s="1"/>
  <c r="AC108" i="9"/>
  <c r="AC109" i="9" s="1"/>
  <c r="AD108" i="9"/>
  <c r="AD109" i="9" s="1"/>
  <c r="AE108" i="9"/>
  <c r="AF108" i="9"/>
  <c r="AG108" i="9"/>
  <c r="AH108" i="9"/>
  <c r="AI108" i="9"/>
  <c r="AJ108" i="9"/>
  <c r="AJ109" i="9" s="1"/>
  <c r="AK108" i="9"/>
  <c r="AK109" i="9" s="1"/>
  <c r="AL108" i="9"/>
  <c r="AL109" i="9" s="1"/>
  <c r="AM108" i="9"/>
  <c r="AN108" i="9"/>
  <c r="AO108" i="9"/>
  <c r="AP108" i="9"/>
  <c r="AQ108" i="9"/>
  <c r="AR108" i="9"/>
  <c r="AR109" i="9" s="1"/>
  <c r="AS108" i="9"/>
  <c r="AS109" i="9" s="1"/>
  <c r="AT108" i="9"/>
  <c r="AT109" i="9" s="1"/>
  <c r="AU108" i="9"/>
  <c r="AV108" i="9"/>
  <c r="AW108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E107" i="9"/>
  <c r="AF107" i="9"/>
  <c r="AG107" i="9"/>
  <c r="AH107" i="9"/>
  <c r="AI107" i="9"/>
  <c r="AJ107" i="9"/>
  <c r="AK107" i="9"/>
  <c r="AL107" i="9"/>
  <c r="AM107" i="9"/>
  <c r="AN107" i="9"/>
  <c r="AO107" i="9"/>
  <c r="AP107" i="9"/>
  <c r="AQ107" i="9"/>
  <c r="AR107" i="9"/>
  <c r="AS107" i="9"/>
  <c r="AT107" i="9"/>
  <c r="AU107" i="9"/>
  <c r="AV107" i="9"/>
  <c r="AW107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AJ106" i="9"/>
  <c r="AK106" i="9"/>
  <c r="AL106" i="9"/>
  <c r="AM106" i="9"/>
  <c r="AN106" i="9"/>
  <c r="AO106" i="9"/>
  <c r="AP106" i="9"/>
  <c r="AQ106" i="9"/>
  <c r="AR106" i="9"/>
  <c r="AS106" i="9"/>
  <c r="AT106" i="9"/>
  <c r="AU106" i="9"/>
  <c r="AV106" i="9"/>
  <c r="AW106" i="9"/>
  <c r="C90" i="9"/>
  <c r="D90" i="9"/>
  <c r="E90" i="9"/>
  <c r="F90" i="9"/>
  <c r="G90" i="9"/>
  <c r="H90" i="9"/>
  <c r="I90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AJ90" i="9"/>
  <c r="AK90" i="9"/>
  <c r="AL90" i="9"/>
  <c r="AM90" i="9"/>
  <c r="AN90" i="9"/>
  <c r="AO90" i="9"/>
  <c r="AP90" i="9"/>
  <c r="AQ90" i="9"/>
  <c r="AR90" i="9"/>
  <c r="AS90" i="9"/>
  <c r="AT90" i="9"/>
  <c r="AU90" i="9"/>
  <c r="AV90" i="9"/>
  <c r="AW90" i="9"/>
  <c r="C89" i="9"/>
  <c r="D89" i="9"/>
  <c r="E89" i="9"/>
  <c r="F89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AJ89" i="9"/>
  <c r="AK89" i="9"/>
  <c r="AL89" i="9"/>
  <c r="AM89" i="9"/>
  <c r="AN89" i="9"/>
  <c r="AO89" i="9"/>
  <c r="AP89" i="9"/>
  <c r="AQ89" i="9"/>
  <c r="AR89" i="9"/>
  <c r="AS89" i="9"/>
  <c r="AT89" i="9"/>
  <c r="AU89" i="9"/>
  <c r="AV89" i="9"/>
  <c r="AW89" i="9"/>
  <c r="C84" i="9"/>
  <c r="C93" i="9" s="1" a="1"/>
  <c r="C93" i="9" s="1"/>
  <c r="C104" i="9" s="1"/>
  <c r="D84" i="9"/>
  <c r="D93" i="9" s="1" a="1"/>
  <c r="D93" i="9" s="1"/>
  <c r="E84" i="9"/>
  <c r="E93" i="9" s="1" a="1"/>
  <c r="E93" i="9" s="1"/>
  <c r="F84" i="9"/>
  <c r="F93" i="9" s="1" a="1"/>
  <c r="F93" i="9" s="1"/>
  <c r="F98" i="9" s="1"/>
  <c r="G84" i="9"/>
  <c r="G93" i="9" s="1" a="1"/>
  <c r="G93" i="9" s="1"/>
  <c r="G97" i="9" s="1"/>
  <c r="G118" i="9" s="1"/>
  <c r="H84" i="9"/>
  <c r="H93" i="9" s="1" a="1"/>
  <c r="H93" i="9" s="1"/>
  <c r="H97" i="9" s="1"/>
  <c r="H118" i="9" s="1"/>
  <c r="I84" i="9"/>
  <c r="I93" i="9" s="1" a="1"/>
  <c r="I93" i="9" s="1"/>
  <c r="I94" i="9" s="1"/>
  <c r="I115" i="9" s="1"/>
  <c r="J84" i="9"/>
  <c r="J93" i="9" s="1" a="1"/>
  <c r="J93" i="9" s="1"/>
  <c r="J95" i="9" s="1"/>
  <c r="J116" i="9" s="1"/>
  <c r="K84" i="9"/>
  <c r="K93" i="9" s="1" a="1"/>
  <c r="K93" i="9" s="1"/>
  <c r="K104" i="9" s="1"/>
  <c r="L84" i="9"/>
  <c r="L93" i="9" s="1" a="1"/>
  <c r="L93" i="9" s="1"/>
  <c r="L100" i="9" s="1"/>
  <c r="M84" i="9"/>
  <c r="M93" i="9" s="1" a="1"/>
  <c r="M93" i="9" s="1"/>
  <c r="N84" i="9"/>
  <c r="N93" i="9" s="1" a="1"/>
  <c r="N93" i="9" s="1"/>
  <c r="N100" i="9" s="1"/>
  <c r="O84" i="9"/>
  <c r="O93" i="9" s="1" a="1"/>
  <c r="O93" i="9" s="1"/>
  <c r="P84" i="9"/>
  <c r="P93" i="9" s="1" a="1"/>
  <c r="P93" i="9" s="1"/>
  <c r="P96" i="9" s="1"/>
  <c r="P117" i="9" s="1"/>
  <c r="Q84" i="9"/>
  <c r="Q93" i="9" s="1" a="1"/>
  <c r="Q93" i="9" s="1"/>
  <c r="Q96" i="9" s="1"/>
  <c r="Q117" i="9" s="1"/>
  <c r="R84" i="9"/>
  <c r="R93" i="9" s="1" a="1"/>
  <c r="R93" i="9" s="1"/>
  <c r="R98" i="9" s="1"/>
  <c r="S84" i="9"/>
  <c r="S93" i="9" s="1" a="1"/>
  <c r="S93" i="9" s="1"/>
  <c r="T84" i="9"/>
  <c r="T93" i="9" s="1" a="1"/>
  <c r="T93" i="9" s="1"/>
  <c r="T100" i="9" s="1"/>
  <c r="U84" i="9"/>
  <c r="U93" i="9" s="1" a="1"/>
  <c r="U93" i="9" s="1"/>
  <c r="V84" i="9"/>
  <c r="V93" i="9" s="1" a="1"/>
  <c r="V93" i="9" s="1"/>
  <c r="V98" i="9" s="1"/>
  <c r="W84" i="9"/>
  <c r="W93" i="9" s="1" a="1"/>
  <c r="W93" i="9" s="1"/>
  <c r="W97" i="9" s="1"/>
  <c r="W118" i="9" s="1"/>
  <c r="X84" i="9"/>
  <c r="X93" i="9" s="1" a="1"/>
  <c r="X93" i="9" s="1"/>
  <c r="X97" i="9" s="1"/>
  <c r="X118" i="9" s="1"/>
  <c r="Y84" i="9"/>
  <c r="Y93" i="9" s="1" a="1"/>
  <c r="Y93" i="9" s="1"/>
  <c r="Y96" i="9" s="1"/>
  <c r="Y117" i="9" s="1"/>
  <c r="Z84" i="9"/>
  <c r="Z93" i="9" s="1" a="1"/>
  <c r="Z93" i="9" s="1"/>
  <c r="AA84" i="9"/>
  <c r="AA93" i="9" s="1" a="1"/>
  <c r="AA93" i="9" s="1"/>
  <c r="AB84" i="9"/>
  <c r="AB93" i="9" s="1" a="1"/>
  <c r="AB93" i="9" s="1"/>
  <c r="AC84" i="9"/>
  <c r="AC93" i="9" s="1" a="1"/>
  <c r="AC93" i="9" s="1"/>
  <c r="AD84" i="9"/>
  <c r="AD93" i="9" s="1" a="1"/>
  <c r="AD93" i="9" s="1"/>
  <c r="AD100" i="9" s="1"/>
  <c r="AE84" i="9"/>
  <c r="AE93" i="9" s="1" a="1"/>
  <c r="AE93" i="9" s="1"/>
  <c r="AE103" i="9" s="1"/>
  <c r="AE120" i="9" s="1"/>
  <c r="AF84" i="9"/>
  <c r="AF93" i="9" s="1" a="1"/>
  <c r="AF93" i="9" s="1"/>
  <c r="AF96" i="9" s="1"/>
  <c r="AF117" i="9" s="1"/>
  <c r="AG84" i="9"/>
  <c r="AG93" i="9" s="1" a="1"/>
  <c r="AG93" i="9" s="1"/>
  <c r="AG96" i="9" s="1"/>
  <c r="AG117" i="9" s="1"/>
  <c r="AH84" i="9"/>
  <c r="AH93" i="9" s="1" a="1"/>
  <c r="AH93" i="9" s="1"/>
  <c r="AH96" i="9" s="1"/>
  <c r="AH117" i="9" s="1"/>
  <c r="AI84" i="9"/>
  <c r="AI93" i="9" s="1" a="1"/>
  <c r="AI93" i="9" s="1"/>
  <c r="AI104" i="9" s="1"/>
  <c r="AJ84" i="9"/>
  <c r="AJ93" i="9" s="1" a="1"/>
  <c r="AJ93" i="9" s="1"/>
  <c r="AJ103" i="9" s="1"/>
  <c r="AJ120" i="9" s="1"/>
  <c r="AK84" i="9"/>
  <c r="AK93" i="9" s="1" a="1"/>
  <c r="AK93" i="9" s="1"/>
  <c r="AL84" i="9"/>
  <c r="AL93" i="9" s="1" a="1"/>
  <c r="AL93" i="9" s="1"/>
  <c r="AL98" i="9" s="1"/>
  <c r="AM84" i="9"/>
  <c r="AM93" i="9" s="1" a="1"/>
  <c r="AM93" i="9" s="1"/>
  <c r="AM97" i="9" s="1"/>
  <c r="AM118" i="9" s="1"/>
  <c r="AN84" i="9"/>
  <c r="AN93" i="9" s="1" a="1"/>
  <c r="AN93" i="9" s="1"/>
  <c r="AN97" i="9" s="1"/>
  <c r="AN118" i="9" s="1"/>
  <c r="AO84" i="9"/>
  <c r="AO93" i="9" s="1" a="1"/>
  <c r="AO93" i="9" s="1"/>
  <c r="AO96" i="9" s="1"/>
  <c r="AO117" i="9" s="1"/>
  <c r="AP84" i="9"/>
  <c r="AP93" i="9" s="1" a="1"/>
  <c r="AP93" i="9" s="1"/>
  <c r="AP95" i="9" s="1"/>
  <c r="AP116" i="9" s="1"/>
  <c r="AQ84" i="9"/>
  <c r="AQ93" i="9" s="1" a="1"/>
  <c r="AQ93" i="9" s="1"/>
  <c r="AQ103" i="9" s="1"/>
  <c r="AQ120" i="9" s="1"/>
  <c r="AR84" i="9"/>
  <c r="AR93" i="9" s="1" a="1"/>
  <c r="AR93" i="9" s="1"/>
  <c r="AR103" i="9" s="1"/>
  <c r="AR120" i="9" s="1"/>
  <c r="AS84" i="9"/>
  <c r="AS93" i="9" s="1" a="1"/>
  <c r="AS93" i="9" s="1"/>
  <c r="AT84" i="9"/>
  <c r="AT93" i="9" s="1" a="1"/>
  <c r="AT93" i="9" s="1"/>
  <c r="AT100" i="9" s="1"/>
  <c r="AU84" i="9"/>
  <c r="AU93" i="9" s="1" a="1"/>
  <c r="AU93" i="9" s="1"/>
  <c r="AU103" i="9" s="1"/>
  <c r="AU120" i="9" s="1"/>
  <c r="AV84" i="9"/>
  <c r="AV93" i="9" s="1" a="1"/>
  <c r="AV93" i="9" s="1"/>
  <c r="AV96" i="9" s="1"/>
  <c r="AV117" i="9" s="1"/>
  <c r="AW84" i="9"/>
  <c r="AW93" i="9" s="1" a="1"/>
  <c r="AW93" i="9" s="1"/>
  <c r="AW96" i="9" s="1"/>
  <c r="AW117" i="9" s="1"/>
  <c r="B90" i="9"/>
  <c r="B89" i="9"/>
  <c r="B84" i="9"/>
  <c r="B93" i="9" s="1" a="1"/>
  <c r="B93" i="9" s="1"/>
  <c r="B96" i="9" s="1"/>
  <c r="D83" i="9"/>
  <c r="E83" i="9" s="1"/>
  <c r="C83" i="9"/>
  <c r="B83" i="9"/>
  <c r="B110" i="9"/>
  <c r="B108" i="9"/>
  <c r="B107" i="9"/>
  <c r="B106" i="9"/>
  <c r="B111" i="9"/>
  <c r="C6" i="10"/>
  <c r="D6" i="10"/>
  <c r="E6" i="10"/>
  <c r="F6" i="10"/>
  <c r="G6" i="10"/>
  <c r="H6" i="10"/>
  <c r="I6" i="10"/>
  <c r="B6" i="10"/>
  <c r="Z95" i="9" l="1"/>
  <c r="Z116" i="9" s="1"/>
  <c r="D103" i="9"/>
  <c r="D120" i="9" s="1"/>
  <c r="D100" i="9"/>
  <c r="K94" i="9"/>
  <c r="K115" i="9" s="1"/>
  <c r="Y95" i="9"/>
  <c r="Y116" i="9" s="1"/>
  <c r="X96" i="9"/>
  <c r="X117" i="9" s="1"/>
  <c r="AG97" i="9"/>
  <c r="AG118" i="9" s="1"/>
  <c r="AV98" i="9"/>
  <c r="P98" i="9"/>
  <c r="AL100" i="9"/>
  <c r="F100" i="9"/>
  <c r="AT104" i="9"/>
  <c r="J94" i="9"/>
  <c r="J115" i="9" s="1"/>
  <c r="K95" i="9"/>
  <c r="K116" i="9" s="1"/>
  <c r="R96" i="9"/>
  <c r="R117" i="9" s="1"/>
  <c r="Y97" i="9"/>
  <c r="Y118" i="9" s="1"/>
  <c r="AN98" i="9"/>
  <c r="H98" i="9"/>
  <c r="AJ100" i="9"/>
  <c r="AH104" i="9"/>
  <c r="C94" i="9"/>
  <c r="C115" i="9" s="1"/>
  <c r="I95" i="9"/>
  <c r="I116" i="9" s="1"/>
  <c r="J96" i="9"/>
  <c r="J117" i="9" s="1"/>
  <c r="AF100" i="9"/>
  <c r="AD104" i="9"/>
  <c r="AW95" i="9"/>
  <c r="AW116" i="9" s="1"/>
  <c r="C95" i="9"/>
  <c r="C116" i="9" s="1"/>
  <c r="H96" i="9"/>
  <c r="H117" i="9" s="1"/>
  <c r="S97" i="9"/>
  <c r="S118" i="9" s="1"/>
  <c r="AH98" i="9"/>
  <c r="AW99" i="9"/>
  <c r="AW119" i="9" s="1"/>
  <c r="AI103" i="9"/>
  <c r="AI120" i="9" s="1"/>
  <c r="B100" i="9"/>
  <c r="AV95" i="9"/>
  <c r="AV116" i="9" s="1"/>
  <c r="AP96" i="9"/>
  <c r="AP117" i="9" s="1"/>
  <c r="AW97" i="9"/>
  <c r="AW118" i="9" s="1"/>
  <c r="Q97" i="9"/>
  <c r="Q118" i="9" s="1"/>
  <c r="AF98" i="9"/>
  <c r="AG99" i="9"/>
  <c r="AG119" i="9" s="1"/>
  <c r="V100" i="9"/>
  <c r="B103" i="9"/>
  <c r="AQ95" i="9"/>
  <c r="AQ116" i="9" s="1"/>
  <c r="AN96" i="9"/>
  <c r="AN117" i="9" s="1"/>
  <c r="AO97" i="9"/>
  <c r="AO118" i="9" s="1"/>
  <c r="I97" i="9"/>
  <c r="I118" i="9" s="1"/>
  <c r="X98" i="9"/>
  <c r="Q99" i="9"/>
  <c r="Q119" i="9" s="1"/>
  <c r="N94" i="9"/>
  <c r="N115" i="9" s="1"/>
  <c r="AO95" i="9"/>
  <c r="AO116" i="9" s="1"/>
  <c r="AV100" i="9"/>
  <c r="P100" i="9"/>
  <c r="B97" i="9"/>
  <c r="B99" i="9"/>
  <c r="L94" i="9"/>
  <c r="L115" i="9" s="1"/>
  <c r="AA95" i="9"/>
  <c r="AA116" i="9" s="1"/>
  <c r="Z96" i="9"/>
  <c r="Z117" i="9" s="1"/>
  <c r="AI97" i="9"/>
  <c r="AI118" i="9" s="1"/>
  <c r="C97" i="9"/>
  <c r="C118" i="9" s="1"/>
  <c r="C103" i="9"/>
  <c r="C120" i="9" s="1"/>
  <c r="U96" i="9"/>
  <c r="U117" i="9" s="1"/>
  <c r="U97" i="9"/>
  <c r="U118" i="9" s="1"/>
  <c r="U98" i="9"/>
  <c r="U95" i="9"/>
  <c r="U116" i="9" s="1"/>
  <c r="U94" i="9"/>
  <c r="U115" i="9" s="1"/>
  <c r="U99" i="9"/>
  <c r="U119" i="9" s="1"/>
  <c r="U100" i="9"/>
  <c r="M96" i="9"/>
  <c r="M117" i="9" s="1"/>
  <c r="M97" i="9"/>
  <c r="M118" i="9" s="1"/>
  <c r="M98" i="9"/>
  <c r="M104" i="9"/>
  <c r="M95" i="9"/>
  <c r="M116" i="9" s="1"/>
  <c r="M99" i="9"/>
  <c r="M119" i="9" s="1"/>
  <c r="M103" i="9"/>
  <c r="M120" i="9" s="1"/>
  <c r="M100" i="9"/>
  <c r="M94" i="9"/>
  <c r="M115" i="9" s="1"/>
  <c r="E96" i="9"/>
  <c r="E117" i="9" s="1"/>
  <c r="E97" i="9"/>
  <c r="E118" i="9" s="1"/>
  <c r="E98" i="9"/>
  <c r="E104" i="9"/>
  <c r="E99" i="9"/>
  <c r="E119" i="9" s="1"/>
  <c r="E95" i="9"/>
  <c r="E116" i="9" s="1"/>
  <c r="E100" i="9"/>
  <c r="E103" i="9"/>
  <c r="E120" i="9" s="1"/>
  <c r="E94" i="9"/>
  <c r="E115" i="9" s="1"/>
  <c r="AC96" i="9"/>
  <c r="AC117" i="9" s="1"/>
  <c r="AC97" i="9"/>
  <c r="AC118" i="9" s="1"/>
  <c r="AC98" i="9"/>
  <c r="AC104" i="9"/>
  <c r="AC95" i="9"/>
  <c r="AC116" i="9" s="1"/>
  <c r="AC99" i="9"/>
  <c r="AC119" i="9" s="1"/>
  <c r="AC103" i="9"/>
  <c r="AC120" i="9" s="1"/>
  <c r="AC100" i="9"/>
  <c r="AC94" i="9"/>
  <c r="AC115" i="9" s="1"/>
  <c r="AK96" i="9"/>
  <c r="AK117" i="9" s="1"/>
  <c r="AK97" i="9"/>
  <c r="AK118" i="9" s="1"/>
  <c r="AK98" i="9"/>
  <c r="AK104" i="9"/>
  <c r="AK95" i="9"/>
  <c r="AK116" i="9" s="1"/>
  <c r="AK94" i="9"/>
  <c r="AK115" i="9" s="1"/>
  <c r="AK99" i="9"/>
  <c r="AK119" i="9" s="1"/>
  <c r="AK100" i="9"/>
  <c r="AK103" i="9"/>
  <c r="AK120" i="9" s="1"/>
  <c r="AS96" i="9"/>
  <c r="AS117" i="9" s="1"/>
  <c r="AS97" i="9"/>
  <c r="AS118" i="9" s="1"/>
  <c r="AS98" i="9"/>
  <c r="AS104" i="9"/>
  <c r="AS99" i="9"/>
  <c r="AS119" i="9" s="1"/>
  <c r="AS95" i="9"/>
  <c r="AS116" i="9" s="1"/>
  <c r="AS103" i="9"/>
  <c r="AS120" i="9" s="1"/>
  <c r="AS100" i="9"/>
  <c r="AS94" i="9"/>
  <c r="AS115" i="9" s="1"/>
  <c r="T97" i="9"/>
  <c r="T118" i="9" s="1"/>
  <c r="T98" i="9"/>
  <c r="T99" i="9"/>
  <c r="T119" i="9" s="1"/>
  <c r="T95" i="9"/>
  <c r="T116" i="9" s="1"/>
  <c r="AU104" i="9"/>
  <c r="AU95" i="9"/>
  <c r="AU116" i="9" s="1"/>
  <c r="AU96" i="9"/>
  <c r="AU117" i="9" s="1"/>
  <c r="AU100" i="9"/>
  <c r="AM104" i="9"/>
  <c r="AM95" i="9"/>
  <c r="AM116" i="9" s="1"/>
  <c r="AM96" i="9"/>
  <c r="AM117" i="9" s="1"/>
  <c r="AM100" i="9"/>
  <c r="AE104" i="9"/>
  <c r="AE95" i="9"/>
  <c r="AE116" i="9" s="1"/>
  <c r="AE96" i="9"/>
  <c r="AE117" i="9" s="1"/>
  <c r="AE100" i="9"/>
  <c r="W95" i="9"/>
  <c r="W116" i="9" s="1"/>
  <c r="W96" i="9"/>
  <c r="W117" i="9" s="1"/>
  <c r="W100" i="9"/>
  <c r="O95" i="9"/>
  <c r="O116" i="9" s="1"/>
  <c r="O96" i="9"/>
  <c r="O117" i="9" s="1"/>
  <c r="O100" i="9"/>
  <c r="G104" i="9"/>
  <c r="G95" i="9"/>
  <c r="G116" i="9" s="1"/>
  <c r="G96" i="9"/>
  <c r="G117" i="9" s="1"/>
  <c r="G100" i="9"/>
  <c r="AU94" i="9"/>
  <c r="AU115" i="9" s="1"/>
  <c r="AM94" i="9"/>
  <c r="AM115" i="9" s="1"/>
  <c r="AE94" i="9"/>
  <c r="AE115" i="9" s="1"/>
  <c r="W94" i="9"/>
  <c r="W115" i="9" s="1"/>
  <c r="AM99" i="9"/>
  <c r="AM119" i="9" s="1"/>
  <c r="W99" i="9"/>
  <c r="W119" i="9" s="1"/>
  <c r="G99" i="9"/>
  <c r="G119" i="9" s="1"/>
  <c r="AJ104" i="9"/>
  <c r="D104" i="9"/>
  <c r="B98" i="9"/>
  <c r="AT96" i="9"/>
  <c r="AT117" i="9" s="1"/>
  <c r="AT97" i="9"/>
  <c r="AT118" i="9" s="1"/>
  <c r="AT103" i="9"/>
  <c r="AT120" i="9" s="1"/>
  <c r="AL95" i="9"/>
  <c r="AL116" i="9" s="1"/>
  <c r="AL96" i="9"/>
  <c r="AL117" i="9" s="1"/>
  <c r="AL97" i="9"/>
  <c r="AL118" i="9" s="1"/>
  <c r="AL103" i="9"/>
  <c r="AL120" i="9" s="1"/>
  <c r="AD95" i="9"/>
  <c r="AD116" i="9" s="1"/>
  <c r="AD96" i="9"/>
  <c r="AD117" i="9" s="1"/>
  <c r="AD97" i="9"/>
  <c r="AD118" i="9" s="1"/>
  <c r="AD103" i="9"/>
  <c r="AD120" i="9" s="1"/>
  <c r="V95" i="9"/>
  <c r="V116" i="9" s="1"/>
  <c r="V96" i="9"/>
  <c r="V117" i="9" s="1"/>
  <c r="V97" i="9"/>
  <c r="V118" i="9" s="1"/>
  <c r="N95" i="9"/>
  <c r="N116" i="9" s="1"/>
  <c r="N96" i="9"/>
  <c r="N117" i="9" s="1"/>
  <c r="N97" i="9"/>
  <c r="N118" i="9" s="1"/>
  <c r="F95" i="9"/>
  <c r="F116" i="9" s="1"/>
  <c r="F96" i="9"/>
  <c r="F117" i="9" s="1"/>
  <c r="F97" i="9"/>
  <c r="F118" i="9" s="1"/>
  <c r="F103" i="9"/>
  <c r="F120" i="9" s="1"/>
  <c r="AT94" i="9"/>
  <c r="AT115" i="9" s="1"/>
  <c r="AL94" i="9"/>
  <c r="AL115" i="9" s="1"/>
  <c r="AD94" i="9"/>
  <c r="AD115" i="9" s="1"/>
  <c r="V94" i="9"/>
  <c r="V115" i="9" s="1"/>
  <c r="D94" i="9"/>
  <c r="D115" i="9" s="1"/>
  <c r="I96" i="9"/>
  <c r="I117" i="9" s="1"/>
  <c r="AM98" i="9"/>
  <c r="W98" i="9"/>
  <c r="G98" i="9"/>
  <c r="AL99" i="9"/>
  <c r="AL119" i="9" s="1"/>
  <c r="V99" i="9"/>
  <c r="V119" i="9" s="1"/>
  <c r="F99" i="9"/>
  <c r="F119" i="9" s="1"/>
  <c r="AJ97" i="9"/>
  <c r="AJ118" i="9" s="1"/>
  <c r="AJ98" i="9"/>
  <c r="AJ99" i="9"/>
  <c r="AJ119" i="9" s="1"/>
  <c r="AJ95" i="9"/>
  <c r="AJ116" i="9" s="1"/>
  <c r="AJ94" i="9"/>
  <c r="AJ115" i="9" s="1"/>
  <c r="T96" i="9"/>
  <c r="T117" i="9" s="1"/>
  <c r="B94" i="9"/>
  <c r="B104" i="9"/>
  <c r="AP99" i="9"/>
  <c r="AP119" i="9" s="1"/>
  <c r="AP100" i="9"/>
  <c r="AP103" i="9"/>
  <c r="AP120" i="9" s="1"/>
  <c r="AP97" i="9"/>
  <c r="AP118" i="9" s="1"/>
  <c r="AH99" i="9"/>
  <c r="AH119" i="9" s="1"/>
  <c r="AH100" i="9"/>
  <c r="AH103" i="9"/>
  <c r="AH120" i="9" s="1"/>
  <c r="AH97" i="9"/>
  <c r="AH118" i="9" s="1"/>
  <c r="Z99" i="9"/>
  <c r="Z119" i="9" s="1"/>
  <c r="Z100" i="9"/>
  <c r="Z97" i="9"/>
  <c r="Z118" i="9" s="1"/>
  <c r="R99" i="9"/>
  <c r="R119" i="9" s="1"/>
  <c r="R100" i="9"/>
  <c r="R97" i="9"/>
  <c r="R118" i="9" s="1"/>
  <c r="J99" i="9"/>
  <c r="J119" i="9" s="1"/>
  <c r="J100" i="9"/>
  <c r="J103" i="9"/>
  <c r="J120" i="9" s="1"/>
  <c r="J97" i="9"/>
  <c r="J118" i="9" s="1"/>
  <c r="C98" i="9"/>
  <c r="C99" i="9"/>
  <c r="C119" i="9" s="1"/>
  <c r="C100" i="9"/>
  <c r="C96" i="9"/>
  <c r="C117" i="9" s="1"/>
  <c r="AP94" i="9"/>
  <c r="AP115" i="9" s="1"/>
  <c r="AH94" i="9"/>
  <c r="AH115" i="9" s="1"/>
  <c r="Z94" i="9"/>
  <c r="Z115" i="9" s="1"/>
  <c r="R94" i="9"/>
  <c r="R115" i="9" s="1"/>
  <c r="AT95" i="9"/>
  <c r="AT116" i="9" s="1"/>
  <c r="AH95" i="9"/>
  <c r="AH116" i="9" s="1"/>
  <c r="R95" i="9"/>
  <c r="R116" i="9" s="1"/>
  <c r="AV97" i="9"/>
  <c r="AV118" i="9" s="1"/>
  <c r="AF97" i="9"/>
  <c r="AF118" i="9" s="1"/>
  <c r="P97" i="9"/>
  <c r="P118" i="9" s="1"/>
  <c r="AU98" i="9"/>
  <c r="AE98" i="9"/>
  <c r="O98" i="9"/>
  <c r="AT99" i="9"/>
  <c r="AT119" i="9" s="1"/>
  <c r="AD99" i="9"/>
  <c r="AD119" i="9" s="1"/>
  <c r="N99" i="9"/>
  <c r="N119" i="9" s="1"/>
  <c r="L103" i="9"/>
  <c r="L120" i="9" s="1"/>
  <c r="AQ104" i="9"/>
  <c r="AR97" i="9"/>
  <c r="AR118" i="9" s="1"/>
  <c r="AR98" i="9"/>
  <c r="AR99" i="9"/>
  <c r="AR119" i="9" s="1"/>
  <c r="AB97" i="9"/>
  <c r="AB118" i="9" s="1"/>
  <c r="AB98" i="9"/>
  <c r="AB99" i="9"/>
  <c r="AB119" i="9" s="1"/>
  <c r="AB95" i="9"/>
  <c r="AB116" i="9" s="1"/>
  <c r="D97" i="9"/>
  <c r="D118" i="9" s="1"/>
  <c r="D98" i="9"/>
  <c r="D99" i="9"/>
  <c r="D119" i="9" s="1"/>
  <c r="D95" i="9"/>
  <c r="D116" i="9" s="1"/>
  <c r="AR94" i="9"/>
  <c r="AR115" i="9" s="1"/>
  <c r="AB94" i="9"/>
  <c r="AB115" i="9" s="1"/>
  <c r="T94" i="9"/>
  <c r="T115" i="9" s="1"/>
  <c r="AJ96" i="9"/>
  <c r="AJ117" i="9" s="1"/>
  <c r="D96" i="9"/>
  <c r="D117" i="9" s="1"/>
  <c r="AI98" i="9"/>
  <c r="AI99" i="9"/>
  <c r="AI119" i="9" s="1"/>
  <c r="AI100" i="9"/>
  <c r="AI96" i="9"/>
  <c r="AI117" i="9" s="1"/>
  <c r="AA98" i="9"/>
  <c r="AA99" i="9"/>
  <c r="AA119" i="9" s="1"/>
  <c r="AA100" i="9"/>
  <c r="AA96" i="9"/>
  <c r="AA117" i="9" s="1"/>
  <c r="S98" i="9"/>
  <c r="S99" i="9"/>
  <c r="S119" i="9" s="1"/>
  <c r="S100" i="9"/>
  <c r="S96" i="9"/>
  <c r="S117" i="9" s="1"/>
  <c r="K98" i="9"/>
  <c r="K99" i="9"/>
  <c r="K119" i="9" s="1"/>
  <c r="K100" i="9"/>
  <c r="K96" i="9"/>
  <c r="K117" i="9" s="1"/>
  <c r="AQ94" i="9"/>
  <c r="AQ115" i="9" s="1"/>
  <c r="AI94" i="9"/>
  <c r="AI115" i="9" s="1"/>
  <c r="AA94" i="9"/>
  <c r="AA115" i="9" s="1"/>
  <c r="S94" i="9"/>
  <c r="S115" i="9" s="1"/>
  <c r="AI95" i="9"/>
  <c r="AI116" i="9" s="1"/>
  <c r="S95" i="9"/>
  <c r="S116" i="9" s="1"/>
  <c r="AU99" i="9"/>
  <c r="AU119" i="9" s="1"/>
  <c r="AE99" i="9"/>
  <c r="AE119" i="9" s="1"/>
  <c r="O99" i="9"/>
  <c r="O119" i="9" s="1"/>
  <c r="AR104" i="9"/>
  <c r="L104" i="9"/>
  <c r="B95" i="9"/>
  <c r="AW100" i="9"/>
  <c r="AW103" i="9"/>
  <c r="AW120" i="9" s="1"/>
  <c r="AW104" i="9"/>
  <c r="AW98" i="9"/>
  <c r="AO100" i="9"/>
  <c r="AO103" i="9"/>
  <c r="AO120" i="9" s="1"/>
  <c r="AO104" i="9"/>
  <c r="AO98" i="9"/>
  <c r="AG100" i="9"/>
  <c r="AG103" i="9"/>
  <c r="AG120" i="9" s="1"/>
  <c r="AG104" i="9"/>
  <c r="AG98" i="9"/>
  <c r="Y100" i="9"/>
  <c r="Y98" i="9"/>
  <c r="Q100" i="9"/>
  <c r="Q98" i="9"/>
  <c r="I100" i="9"/>
  <c r="I103" i="9"/>
  <c r="I120" i="9" s="1"/>
  <c r="I104" i="9"/>
  <c r="I98" i="9"/>
  <c r="AW94" i="9"/>
  <c r="AW115" i="9" s="1"/>
  <c r="AO94" i="9"/>
  <c r="AO115" i="9" s="1"/>
  <c r="AG94" i="9"/>
  <c r="AG115" i="9" s="1"/>
  <c r="Y94" i="9"/>
  <c r="Y115" i="9" s="1"/>
  <c r="Q94" i="9"/>
  <c r="Q115" i="9" s="1"/>
  <c r="G94" i="9"/>
  <c r="G115" i="9" s="1"/>
  <c r="AG95" i="9"/>
  <c r="AG116" i="9" s="1"/>
  <c r="Q95" i="9"/>
  <c r="Q116" i="9" s="1"/>
  <c r="AU97" i="9"/>
  <c r="AU118" i="9" s="1"/>
  <c r="AE97" i="9"/>
  <c r="AE118" i="9" s="1"/>
  <c r="O97" i="9"/>
  <c r="O118" i="9" s="1"/>
  <c r="AT98" i="9"/>
  <c r="AD98" i="9"/>
  <c r="N98" i="9"/>
  <c r="AR100" i="9"/>
  <c r="AB100" i="9"/>
  <c r="K103" i="9"/>
  <c r="K120" i="9" s="1"/>
  <c r="AP104" i="9"/>
  <c r="J104" i="9"/>
  <c r="L97" i="9"/>
  <c r="L118" i="9" s="1"/>
  <c r="L98" i="9"/>
  <c r="L99" i="9"/>
  <c r="L119" i="9" s="1"/>
  <c r="L95" i="9"/>
  <c r="L116" i="9" s="1"/>
  <c r="AQ98" i="9"/>
  <c r="AQ99" i="9"/>
  <c r="AQ119" i="9" s="1"/>
  <c r="AQ100" i="9"/>
  <c r="AQ96" i="9"/>
  <c r="AQ117" i="9" s="1"/>
  <c r="AV103" i="9"/>
  <c r="AV120" i="9" s="1"/>
  <c r="AV104" i="9"/>
  <c r="AV99" i="9"/>
  <c r="AV119" i="9" s="1"/>
  <c r="AN103" i="9"/>
  <c r="AN120" i="9" s="1"/>
  <c r="AN104" i="9"/>
  <c r="AN95" i="9"/>
  <c r="AN116" i="9" s="1"/>
  <c r="AN99" i="9"/>
  <c r="AN119" i="9" s="1"/>
  <c r="AF103" i="9"/>
  <c r="AF120" i="9" s="1"/>
  <c r="AF104" i="9"/>
  <c r="AF95" i="9"/>
  <c r="AF116" i="9" s="1"/>
  <c r="AF99" i="9"/>
  <c r="AF119" i="9" s="1"/>
  <c r="X95" i="9"/>
  <c r="X116" i="9" s="1"/>
  <c r="X99" i="9"/>
  <c r="X119" i="9" s="1"/>
  <c r="P94" i="9"/>
  <c r="P115" i="9" s="1"/>
  <c r="P95" i="9"/>
  <c r="P116" i="9" s="1"/>
  <c r="P99" i="9"/>
  <c r="P119" i="9" s="1"/>
  <c r="H103" i="9"/>
  <c r="H120" i="9" s="1"/>
  <c r="H104" i="9"/>
  <c r="H94" i="9"/>
  <c r="H115" i="9" s="1"/>
  <c r="H95" i="9"/>
  <c r="H116" i="9" s="1"/>
  <c r="H99" i="9"/>
  <c r="H119" i="9" s="1"/>
  <c r="AV94" i="9"/>
  <c r="AV115" i="9" s="1"/>
  <c r="AN94" i="9"/>
  <c r="AN115" i="9" s="1"/>
  <c r="AF94" i="9"/>
  <c r="AF115" i="9" s="1"/>
  <c r="X94" i="9"/>
  <c r="X115" i="9" s="1"/>
  <c r="O94" i="9"/>
  <c r="O115" i="9" s="1"/>
  <c r="F94" i="9"/>
  <c r="F115" i="9" s="1"/>
  <c r="AR95" i="9"/>
  <c r="AR116" i="9" s="1"/>
  <c r="AR96" i="9"/>
  <c r="AR117" i="9" s="1"/>
  <c r="AB96" i="9"/>
  <c r="AB117" i="9" s="1"/>
  <c r="L96" i="9"/>
  <c r="L117" i="9" s="1"/>
  <c r="AQ97" i="9"/>
  <c r="AQ118" i="9" s="1"/>
  <c r="AA97" i="9"/>
  <c r="AA118" i="9" s="1"/>
  <c r="K97" i="9"/>
  <c r="K118" i="9" s="1"/>
  <c r="AP98" i="9"/>
  <c r="Z98" i="9"/>
  <c r="J98" i="9"/>
  <c r="AO99" i="9"/>
  <c r="AO119" i="9" s="1"/>
  <c r="Y99" i="9"/>
  <c r="Y119" i="9" s="1"/>
  <c r="I99" i="9"/>
  <c r="I119" i="9" s="1"/>
  <c r="AN100" i="9"/>
  <c r="X100" i="9"/>
  <c r="H100" i="9"/>
  <c r="AM103" i="9"/>
  <c r="AM120" i="9" s="1"/>
  <c r="G103" i="9"/>
  <c r="G120" i="9" s="1"/>
  <c r="AL104" i="9"/>
  <c r="F104" i="9"/>
  <c r="F83" i="9"/>
  <c r="B109" i="9"/>
  <c r="G83" i="9" l="1"/>
  <c r="B120" i="9"/>
  <c r="AC64" i="3"/>
  <c r="AB64" i="3"/>
  <c r="AC63" i="3"/>
  <c r="AD61" i="3"/>
  <c r="AB102" i="9" s="1"/>
  <c r="AC61" i="3"/>
  <c r="AA102" i="9" s="1"/>
  <c r="T64" i="3"/>
  <c r="Y63" i="3"/>
  <c r="X104" i="9" s="1"/>
  <c r="X63" i="3"/>
  <c r="W104" i="9" s="1"/>
  <c r="P63" i="3"/>
  <c r="O104" i="9" s="1"/>
  <c r="U62" i="3"/>
  <c r="T62" i="3"/>
  <c r="X61" i="3"/>
  <c r="W102" i="9" s="1"/>
  <c r="Q61" i="3"/>
  <c r="P102" i="9" s="1"/>
  <c r="P61" i="3"/>
  <c r="AD56" i="3"/>
  <c r="AD64" i="3" s="1"/>
  <c r="AC56" i="3"/>
  <c r="AB56" i="3"/>
  <c r="AD55" i="3"/>
  <c r="AC55" i="3"/>
  <c r="AB55" i="3"/>
  <c r="AD54" i="3"/>
  <c r="AD62" i="3" s="1"/>
  <c r="AC54" i="3"/>
  <c r="AC62" i="3" s="1"/>
  <c r="AB54" i="3"/>
  <c r="AB62" i="3" s="1"/>
  <c r="AD53" i="3"/>
  <c r="AB101" i="9" s="1"/>
  <c r="AC53" i="3"/>
  <c r="AB53" i="3"/>
  <c r="Z56" i="3"/>
  <c r="Z64" i="3" s="1"/>
  <c r="Y56" i="3"/>
  <c r="Y64" i="3" s="1"/>
  <c r="X56" i="3"/>
  <c r="X64" i="3" s="1"/>
  <c r="W56" i="3"/>
  <c r="W64" i="3" s="1"/>
  <c r="V56" i="3"/>
  <c r="V64" i="3" s="1"/>
  <c r="U56" i="3"/>
  <c r="U64" i="3" s="1"/>
  <c r="T56" i="3"/>
  <c r="S56" i="3"/>
  <c r="S64" i="3" s="1"/>
  <c r="R56" i="3"/>
  <c r="R64" i="3" s="1"/>
  <c r="Q56" i="3"/>
  <c r="Q64" i="3" s="1"/>
  <c r="P56" i="3"/>
  <c r="P64" i="3" s="1"/>
  <c r="O56" i="3"/>
  <c r="O64" i="3" s="1"/>
  <c r="Z55" i="3"/>
  <c r="Y103" i="9" s="1"/>
  <c r="Y120" i="9" s="1"/>
  <c r="Y55" i="3"/>
  <c r="X103" i="9" s="1"/>
  <c r="X120" i="9" s="1"/>
  <c r="X55" i="3"/>
  <c r="W103" i="9" s="1"/>
  <c r="W120" i="9" s="1"/>
  <c r="W55" i="3"/>
  <c r="V103" i="9" s="1"/>
  <c r="V120" i="9" s="1"/>
  <c r="V55" i="3"/>
  <c r="U103" i="9" s="1"/>
  <c r="U120" i="9" s="1"/>
  <c r="U55" i="3"/>
  <c r="T103" i="9" s="1"/>
  <c r="T120" i="9" s="1"/>
  <c r="T55" i="3"/>
  <c r="S103" i="9" s="1"/>
  <c r="S120" i="9" s="1"/>
  <c r="S55" i="3"/>
  <c r="R103" i="9" s="1"/>
  <c r="R120" i="9" s="1"/>
  <c r="R55" i="3"/>
  <c r="Q103" i="9" s="1"/>
  <c r="Q120" i="9" s="1"/>
  <c r="Q55" i="3"/>
  <c r="P103" i="9" s="1"/>
  <c r="P120" i="9" s="1"/>
  <c r="P55" i="3"/>
  <c r="O103" i="9" s="1"/>
  <c r="O120" i="9" s="1"/>
  <c r="O55" i="3"/>
  <c r="O63" i="3" s="1"/>
  <c r="Z54" i="3"/>
  <c r="Z62" i="3" s="1"/>
  <c r="Y54" i="3"/>
  <c r="Y62" i="3" s="1"/>
  <c r="X54" i="3"/>
  <c r="X62" i="3" s="1"/>
  <c r="W54" i="3"/>
  <c r="W62" i="3" s="1"/>
  <c r="V54" i="3"/>
  <c r="V62" i="3" s="1"/>
  <c r="U54" i="3"/>
  <c r="T54" i="3"/>
  <c r="S54" i="3"/>
  <c r="S62" i="3" s="1"/>
  <c r="R54" i="3"/>
  <c r="R62" i="3" s="1"/>
  <c r="Q54" i="3"/>
  <c r="Q62" i="3" s="1"/>
  <c r="P54" i="3"/>
  <c r="P62" i="3" s="1"/>
  <c r="O54" i="3"/>
  <c r="O62" i="3" s="1"/>
  <c r="AA62" i="3" s="1"/>
  <c r="Z53" i="3"/>
  <c r="Y53" i="3"/>
  <c r="X53" i="3"/>
  <c r="W53" i="3"/>
  <c r="V53" i="3"/>
  <c r="U53" i="3"/>
  <c r="T53" i="3"/>
  <c r="S53" i="3"/>
  <c r="R53" i="3"/>
  <c r="Q53" i="3"/>
  <c r="P53" i="3"/>
  <c r="O53" i="3"/>
  <c r="M56" i="3"/>
  <c r="M64" i="3" s="1"/>
  <c r="L56" i="3"/>
  <c r="L64" i="3" s="1"/>
  <c r="K56" i="3"/>
  <c r="K64" i="3" s="1"/>
  <c r="J56" i="3"/>
  <c r="J64" i="3" s="1"/>
  <c r="I56" i="3"/>
  <c r="I64" i="3" s="1"/>
  <c r="H56" i="3"/>
  <c r="H64" i="3" s="1"/>
  <c r="G56" i="3"/>
  <c r="G64" i="3" s="1"/>
  <c r="F56" i="3"/>
  <c r="F64" i="3" s="1"/>
  <c r="E56" i="3"/>
  <c r="E64" i="3" s="1"/>
  <c r="D56" i="3"/>
  <c r="D64" i="3" s="1"/>
  <c r="C56" i="3"/>
  <c r="C64" i="3" s="1"/>
  <c r="B56" i="3"/>
  <c r="B64" i="3" s="1"/>
  <c r="M55" i="3"/>
  <c r="L55" i="3"/>
  <c r="K55" i="3"/>
  <c r="J55" i="3"/>
  <c r="I55" i="3"/>
  <c r="H55" i="3"/>
  <c r="G55" i="3"/>
  <c r="G63" i="3" s="1"/>
  <c r="F55" i="3"/>
  <c r="E55" i="3"/>
  <c r="D55" i="3"/>
  <c r="C55" i="3"/>
  <c r="B55" i="3"/>
  <c r="B63" i="3" s="1"/>
  <c r="M54" i="3"/>
  <c r="M62" i="3" s="1"/>
  <c r="L54" i="3"/>
  <c r="L62" i="3" s="1"/>
  <c r="K54" i="3"/>
  <c r="K62" i="3" s="1"/>
  <c r="J54" i="3"/>
  <c r="J62" i="3" s="1"/>
  <c r="I54" i="3"/>
  <c r="I62" i="3" s="1"/>
  <c r="H54" i="3"/>
  <c r="H62" i="3" s="1"/>
  <c r="G54" i="3"/>
  <c r="G62" i="3" s="1"/>
  <c r="F54" i="3"/>
  <c r="E54" i="3"/>
  <c r="D54" i="3"/>
  <c r="D57" i="3" s="1"/>
  <c r="C54" i="3"/>
  <c r="C62" i="3" s="1"/>
  <c r="B54" i="3"/>
  <c r="B62" i="3" s="1"/>
  <c r="M53" i="3"/>
  <c r="L53" i="3"/>
  <c r="K53" i="3"/>
  <c r="J53" i="3"/>
  <c r="I53" i="3"/>
  <c r="H53" i="3"/>
  <c r="G53" i="3"/>
  <c r="G101" i="9" s="1"/>
  <c r="F53" i="3"/>
  <c r="E53" i="3"/>
  <c r="D53" i="3"/>
  <c r="C53" i="3"/>
  <c r="B53" i="3"/>
  <c r="E61" i="3" l="1"/>
  <c r="E102" i="9" s="1"/>
  <c r="E101" i="9"/>
  <c r="R57" i="3"/>
  <c r="Q101" i="9"/>
  <c r="T61" i="3"/>
  <c r="S102" i="9" s="1"/>
  <c r="S101" i="9"/>
  <c r="G61" i="3"/>
  <c r="G102" i="9" s="1"/>
  <c r="I57" i="3"/>
  <c r="I101" i="9"/>
  <c r="D61" i="3"/>
  <c r="D102" i="9" s="1"/>
  <c r="D101" i="9"/>
  <c r="L61" i="3"/>
  <c r="L102" i="9" s="1"/>
  <c r="L101" i="9"/>
  <c r="Q57" i="3"/>
  <c r="P101" i="9"/>
  <c r="Y57" i="3"/>
  <c r="X101" i="9"/>
  <c r="S63" i="3"/>
  <c r="R104" i="9" s="1"/>
  <c r="F61" i="3"/>
  <c r="F102" i="9" s="1"/>
  <c r="F101" i="9"/>
  <c r="S57" i="3"/>
  <c r="R101" i="9"/>
  <c r="R61" i="3"/>
  <c r="Q102" i="9" s="1"/>
  <c r="Z63" i="3"/>
  <c r="Y104" i="9" s="1"/>
  <c r="H61" i="3"/>
  <c r="H102" i="9" s="1"/>
  <c r="H101" i="9"/>
  <c r="Z103" i="9"/>
  <c r="Z120" i="9" s="1"/>
  <c r="S61" i="3"/>
  <c r="R102" i="9" s="1"/>
  <c r="AA103" i="9"/>
  <c r="AA120" i="9" s="1"/>
  <c r="J57" i="3"/>
  <c r="J101" i="9"/>
  <c r="AB57" i="3"/>
  <c r="Z101" i="9"/>
  <c r="AB103" i="9"/>
  <c r="AB120" i="9" s="1"/>
  <c r="Y61" i="3"/>
  <c r="X102" i="9" s="1"/>
  <c r="Q63" i="3"/>
  <c r="P104" i="9" s="1"/>
  <c r="M61" i="3"/>
  <c r="M102" i="9" s="1"/>
  <c r="M101" i="9"/>
  <c r="Z57" i="3"/>
  <c r="Y101" i="9"/>
  <c r="P65" i="3"/>
  <c r="O102" i="9"/>
  <c r="AC65" i="3"/>
  <c r="AD57" i="3"/>
  <c r="AA104" i="9"/>
  <c r="U61" i="3"/>
  <c r="T102" i="9" s="1"/>
  <c r="T101" i="9"/>
  <c r="E57" i="3"/>
  <c r="V61" i="3"/>
  <c r="U102" i="9" s="1"/>
  <c r="U101" i="9"/>
  <c r="B57" i="3"/>
  <c r="B101" i="9"/>
  <c r="F57" i="3"/>
  <c r="O61" i="3"/>
  <c r="AA61" i="3" s="1"/>
  <c r="AE61" i="3" s="1"/>
  <c r="N101" i="9"/>
  <c r="W57" i="3"/>
  <c r="V101" i="9"/>
  <c r="C61" i="3"/>
  <c r="C102" i="9" s="1"/>
  <c r="C101" i="9"/>
  <c r="K61" i="3"/>
  <c r="K102" i="9" s="1"/>
  <c r="K101" i="9"/>
  <c r="P57" i="3"/>
  <c r="O101" i="9"/>
  <c r="X57" i="3"/>
  <c r="W101" i="9"/>
  <c r="AC57" i="3"/>
  <c r="AA101" i="9"/>
  <c r="Z61" i="3"/>
  <c r="Y102" i="9" s="1"/>
  <c r="R63" i="3"/>
  <c r="Q104" i="9" s="1"/>
  <c r="X65" i="3"/>
  <c r="N64" i="3"/>
  <c r="N104" i="9"/>
  <c r="G57" i="3"/>
  <c r="F62" i="3"/>
  <c r="C57" i="3"/>
  <c r="K57" i="3"/>
  <c r="T57" i="3"/>
  <c r="F63" i="3"/>
  <c r="W61" i="3"/>
  <c r="V102" i="9" s="1"/>
  <c r="W63" i="3"/>
  <c r="V104" i="9" s="1"/>
  <c r="AB63" i="3"/>
  <c r="AB61" i="3"/>
  <c r="Z102" i="9" s="1"/>
  <c r="AD63" i="3"/>
  <c r="M57" i="3"/>
  <c r="D62" i="3"/>
  <c r="D65" i="3" s="1"/>
  <c r="E62" i="3"/>
  <c r="I63" i="3"/>
  <c r="V65" i="3"/>
  <c r="J63" i="3"/>
  <c r="AA64" i="3"/>
  <c r="L57" i="3"/>
  <c r="H57" i="3"/>
  <c r="C63" i="3"/>
  <c r="K63" i="3"/>
  <c r="T63" i="3"/>
  <c r="S104" i="9" s="1"/>
  <c r="U57" i="3"/>
  <c r="AA53" i="3"/>
  <c r="AE53" i="3" s="1"/>
  <c r="AA55" i="3"/>
  <c r="AE55" i="3" s="1"/>
  <c r="N103" i="9"/>
  <c r="N120" i="9" s="1"/>
  <c r="O57" i="3"/>
  <c r="I61" i="3"/>
  <c r="N53" i="3"/>
  <c r="J61" i="3"/>
  <c r="D63" i="3"/>
  <c r="L63" i="3"/>
  <c r="U63" i="3"/>
  <c r="T104" i="9" s="1"/>
  <c r="V57" i="3"/>
  <c r="B61" i="3"/>
  <c r="H63" i="3"/>
  <c r="N55" i="3"/>
  <c r="N54" i="3"/>
  <c r="N56" i="3"/>
  <c r="AA54" i="3"/>
  <c r="AE54" i="3" s="1"/>
  <c r="AA56" i="3"/>
  <c r="AE56" i="3" s="1"/>
  <c r="E63" i="3"/>
  <c r="M63" i="3"/>
  <c r="V63" i="3"/>
  <c r="U104" i="9" s="1"/>
  <c r="H83" i="9"/>
  <c r="AE62" i="3"/>
  <c r="AE64" i="3"/>
  <c r="Q65" i="3"/>
  <c r="G65" i="3"/>
  <c r="N61" i="3" l="1"/>
  <c r="I102" i="9"/>
  <c r="I65" i="3"/>
  <c r="B65" i="3"/>
  <c r="B102" i="9"/>
  <c r="N62" i="3"/>
  <c r="O65" i="3"/>
  <c r="N102" i="9"/>
  <c r="Z65" i="3"/>
  <c r="Z104" i="9"/>
  <c r="N57" i="3"/>
  <c r="F65" i="3"/>
  <c r="U65" i="3"/>
  <c r="J65" i="3"/>
  <c r="J102" i="9"/>
  <c r="S65" i="3"/>
  <c r="Y65" i="3"/>
  <c r="R65" i="3"/>
  <c r="AB65" i="3"/>
  <c r="E65" i="3"/>
  <c r="W65" i="3"/>
  <c r="M65" i="3"/>
  <c r="AA63" i="3"/>
  <c r="AE63" i="3" s="1"/>
  <c r="K65" i="3"/>
  <c r="H65" i="3"/>
  <c r="C65" i="3"/>
  <c r="AA57" i="3"/>
  <c r="AE57" i="3" s="1"/>
  <c r="T65" i="3"/>
  <c r="AD65" i="3"/>
  <c r="AB104" i="9"/>
  <c r="N63" i="3"/>
  <c r="L65" i="3"/>
  <c r="I83" i="9"/>
  <c r="B119" i="9"/>
  <c r="B115" i="9"/>
  <c r="B116" i="9"/>
  <c r="B117" i="9"/>
  <c r="B118" i="9"/>
  <c r="AA65" i="3" l="1"/>
  <c r="AE65" i="3" s="1"/>
  <c r="N65" i="3"/>
  <c r="J83" i="9"/>
  <c r="AE30" i="3"/>
  <c r="AE31" i="3"/>
  <c r="AE29" i="3"/>
  <c r="AA33" i="3"/>
  <c r="AE33" i="3" s="1"/>
  <c r="AA32" i="3"/>
  <c r="AE32" i="3" s="1"/>
  <c r="AA31" i="3"/>
  <c r="AA30" i="3"/>
  <c r="AA29" i="3"/>
  <c r="N30" i="3"/>
  <c r="N31" i="3"/>
  <c r="N32" i="3"/>
  <c r="N33" i="3"/>
  <c r="N29" i="3"/>
  <c r="AE32" i="7"/>
  <c r="AE31" i="7"/>
  <c r="AE30" i="7"/>
  <c r="AE29" i="7"/>
  <c r="AE28" i="7"/>
  <c r="O20" i="7"/>
  <c r="AA7" i="7"/>
  <c r="N6" i="7"/>
  <c r="AD16" i="7"/>
  <c r="AC16" i="7"/>
  <c r="AB16" i="7"/>
  <c r="AD8" i="7"/>
  <c r="AD24" i="7" s="1"/>
  <c r="AC8" i="7"/>
  <c r="AC24" i="7" s="1"/>
  <c r="AB8" i="7"/>
  <c r="AB24" i="7" s="1"/>
  <c r="Z16" i="7"/>
  <c r="Y16" i="7"/>
  <c r="X16" i="7"/>
  <c r="W16" i="7"/>
  <c r="V16" i="7"/>
  <c r="U16" i="7"/>
  <c r="T16" i="7"/>
  <c r="S16" i="7"/>
  <c r="R16" i="7"/>
  <c r="Q16" i="7"/>
  <c r="P16" i="7"/>
  <c r="O16" i="7"/>
  <c r="M16" i="7"/>
  <c r="L16" i="7"/>
  <c r="K16" i="7"/>
  <c r="J16" i="7"/>
  <c r="I16" i="7"/>
  <c r="H16" i="7"/>
  <c r="G16" i="7"/>
  <c r="F16" i="7"/>
  <c r="E16" i="7"/>
  <c r="D16" i="7"/>
  <c r="C16" i="7"/>
  <c r="B16" i="7"/>
  <c r="N16" i="7" s="1"/>
  <c r="Z8" i="7"/>
  <c r="Z24" i="7" s="1"/>
  <c r="Y8" i="7"/>
  <c r="Y24" i="7" s="1"/>
  <c r="X8" i="7"/>
  <c r="X24" i="7" s="1"/>
  <c r="W8" i="7"/>
  <c r="V8" i="7"/>
  <c r="U8" i="7"/>
  <c r="U24" i="7" s="1"/>
  <c r="T8" i="7"/>
  <c r="T24" i="7" s="1"/>
  <c r="S8" i="7"/>
  <c r="S24" i="7" s="1"/>
  <c r="R8" i="7"/>
  <c r="R24" i="7" s="1"/>
  <c r="Q8" i="7"/>
  <c r="P8" i="7"/>
  <c r="P24" i="7" s="1"/>
  <c r="O8" i="7"/>
  <c r="M8" i="7"/>
  <c r="M24" i="7" s="1"/>
  <c r="C8" i="7"/>
  <c r="D8" i="7"/>
  <c r="D24" i="7" s="1"/>
  <c r="E8" i="7"/>
  <c r="E24" i="7" s="1"/>
  <c r="F8" i="7"/>
  <c r="F24" i="7" s="1"/>
  <c r="G8" i="7"/>
  <c r="G24" i="7" s="1"/>
  <c r="H8" i="7"/>
  <c r="I8" i="7"/>
  <c r="J8" i="7"/>
  <c r="K8" i="7"/>
  <c r="K24" i="7" s="1"/>
  <c r="L8" i="7"/>
  <c r="L24" i="7" s="1"/>
  <c r="B8" i="7"/>
  <c r="O31" i="7"/>
  <c r="X28" i="7"/>
  <c r="Q28" i="7"/>
  <c r="P28" i="7"/>
  <c r="O28" i="7"/>
  <c r="C20" i="7"/>
  <c r="B29" i="7"/>
  <c r="F29" i="7"/>
  <c r="B31" i="7"/>
  <c r="F31" i="7"/>
  <c r="J31" i="7"/>
  <c r="C28" i="7"/>
  <c r="B28" i="7"/>
  <c r="AB21" i="7"/>
  <c r="AC21" i="7"/>
  <c r="AC29" i="7" s="1"/>
  <c r="AD21" i="7"/>
  <c r="AD29" i="7" s="1"/>
  <c r="AB22" i="7"/>
  <c r="AB30" i="7" s="1"/>
  <c r="AC22" i="7"/>
  <c r="AC30" i="7" s="1"/>
  <c r="AD22" i="7"/>
  <c r="AD30" i="7" s="1"/>
  <c r="AB23" i="7"/>
  <c r="AC23" i="7"/>
  <c r="AC31" i="7" s="1"/>
  <c r="AD23" i="7"/>
  <c r="AD31" i="7" s="1"/>
  <c r="AC20" i="7"/>
  <c r="AC28" i="7" s="1"/>
  <c r="AD20" i="7"/>
  <c r="AD28" i="7" s="1"/>
  <c r="AB20" i="7"/>
  <c r="O21" i="7"/>
  <c r="O29" i="7" s="1"/>
  <c r="P21" i="7"/>
  <c r="Q21" i="7"/>
  <c r="Q29" i="7" s="1"/>
  <c r="R21" i="7"/>
  <c r="R29" i="7" s="1"/>
  <c r="S21" i="7"/>
  <c r="S29" i="7" s="1"/>
  <c r="T21" i="7"/>
  <c r="T29" i="7" s="1"/>
  <c r="U21" i="7"/>
  <c r="U29" i="7" s="1"/>
  <c r="V21" i="7"/>
  <c r="V29" i="7" s="1"/>
  <c r="W21" i="7"/>
  <c r="W29" i="7" s="1"/>
  <c r="X21" i="7"/>
  <c r="X29" i="7" s="1"/>
  <c r="Y21" i="7"/>
  <c r="Y29" i="7" s="1"/>
  <c r="Z21" i="7"/>
  <c r="Z29" i="7" s="1"/>
  <c r="O22" i="7"/>
  <c r="O30" i="7" s="1"/>
  <c r="P22" i="7"/>
  <c r="P30" i="7" s="1"/>
  <c r="Q22" i="7"/>
  <c r="Q30" i="7" s="1"/>
  <c r="R22" i="7"/>
  <c r="R30" i="7" s="1"/>
  <c r="S22" i="7"/>
  <c r="S30" i="7" s="1"/>
  <c r="T22" i="7"/>
  <c r="T30" i="7" s="1"/>
  <c r="U22" i="7"/>
  <c r="U30" i="7" s="1"/>
  <c r="V22" i="7"/>
  <c r="V30" i="7" s="1"/>
  <c r="W22" i="7"/>
  <c r="W30" i="7" s="1"/>
  <c r="X22" i="7"/>
  <c r="X30" i="7" s="1"/>
  <c r="Y22" i="7"/>
  <c r="Y30" i="7" s="1"/>
  <c r="Z22" i="7"/>
  <c r="Z30" i="7" s="1"/>
  <c r="O23" i="7"/>
  <c r="P23" i="7"/>
  <c r="P31" i="7" s="1"/>
  <c r="Q23" i="7"/>
  <c r="Q31" i="7" s="1"/>
  <c r="R23" i="7"/>
  <c r="R31" i="7" s="1"/>
  <c r="S23" i="7"/>
  <c r="S31" i="7" s="1"/>
  <c r="T23" i="7"/>
  <c r="T31" i="7" s="1"/>
  <c r="U23" i="7"/>
  <c r="U31" i="7" s="1"/>
  <c r="V23" i="7"/>
  <c r="V31" i="7" s="1"/>
  <c r="W23" i="7"/>
  <c r="W31" i="7" s="1"/>
  <c r="X23" i="7"/>
  <c r="X31" i="7" s="1"/>
  <c r="Y23" i="7"/>
  <c r="Y31" i="7" s="1"/>
  <c r="Z23" i="7"/>
  <c r="Z31" i="7" s="1"/>
  <c r="Q24" i="7"/>
  <c r="P20" i="7"/>
  <c r="Q20" i="7"/>
  <c r="R20" i="7"/>
  <c r="R28" i="7" s="1"/>
  <c r="S20" i="7"/>
  <c r="S28" i="7" s="1"/>
  <c r="T20" i="7"/>
  <c r="T28" i="7" s="1"/>
  <c r="U20" i="7"/>
  <c r="U28" i="7" s="1"/>
  <c r="V20" i="7"/>
  <c r="V28" i="7" s="1"/>
  <c r="W20" i="7"/>
  <c r="W28" i="7" s="1"/>
  <c r="X20" i="7"/>
  <c r="Y20" i="7"/>
  <c r="Y28" i="7" s="1"/>
  <c r="Z20" i="7"/>
  <c r="Z28" i="7" s="1"/>
  <c r="B21" i="7"/>
  <c r="C21" i="7"/>
  <c r="C29" i="7" s="1"/>
  <c r="D21" i="7"/>
  <c r="D29" i="7" s="1"/>
  <c r="E21" i="7"/>
  <c r="E29" i="7" s="1"/>
  <c r="F21" i="7"/>
  <c r="G21" i="7"/>
  <c r="G29" i="7" s="1"/>
  <c r="H21" i="7"/>
  <c r="H29" i="7" s="1"/>
  <c r="I21" i="7"/>
  <c r="I29" i="7" s="1"/>
  <c r="J21" i="7"/>
  <c r="J29" i="7" s="1"/>
  <c r="K21" i="7"/>
  <c r="K29" i="7" s="1"/>
  <c r="L21" i="7"/>
  <c r="L29" i="7" s="1"/>
  <c r="M21" i="7"/>
  <c r="M29" i="7" s="1"/>
  <c r="B22" i="7"/>
  <c r="C22" i="7"/>
  <c r="C30" i="7" s="1"/>
  <c r="D22" i="7"/>
  <c r="D30" i="7" s="1"/>
  <c r="E22" i="7"/>
  <c r="E30" i="7" s="1"/>
  <c r="F22" i="7"/>
  <c r="F30" i="7" s="1"/>
  <c r="G22" i="7"/>
  <c r="G30" i="7" s="1"/>
  <c r="H22" i="7"/>
  <c r="H30" i="7" s="1"/>
  <c r="I22" i="7"/>
  <c r="I30" i="7" s="1"/>
  <c r="J22" i="7"/>
  <c r="J30" i="7" s="1"/>
  <c r="K22" i="7"/>
  <c r="K30" i="7" s="1"/>
  <c r="L22" i="7"/>
  <c r="L30" i="7" s="1"/>
  <c r="M22" i="7"/>
  <c r="M30" i="7" s="1"/>
  <c r="B23" i="7"/>
  <c r="C23" i="7"/>
  <c r="C31" i="7" s="1"/>
  <c r="D23" i="7"/>
  <c r="D31" i="7" s="1"/>
  <c r="E23" i="7"/>
  <c r="E31" i="7" s="1"/>
  <c r="F23" i="7"/>
  <c r="G23" i="7"/>
  <c r="G31" i="7" s="1"/>
  <c r="H23" i="7"/>
  <c r="H31" i="7" s="1"/>
  <c r="I23" i="7"/>
  <c r="I31" i="7" s="1"/>
  <c r="J23" i="7"/>
  <c r="K23" i="7"/>
  <c r="K31" i="7" s="1"/>
  <c r="L23" i="7"/>
  <c r="L31" i="7" s="1"/>
  <c r="M23" i="7"/>
  <c r="M31" i="7" s="1"/>
  <c r="C24" i="7"/>
  <c r="D20" i="7"/>
  <c r="D28" i="7" s="1"/>
  <c r="E20" i="7"/>
  <c r="E28" i="7" s="1"/>
  <c r="F20" i="7"/>
  <c r="F28" i="7" s="1"/>
  <c r="G20" i="7"/>
  <c r="G28" i="7" s="1"/>
  <c r="H20" i="7"/>
  <c r="H28" i="7" s="1"/>
  <c r="I20" i="7"/>
  <c r="I28" i="7" s="1"/>
  <c r="J20" i="7"/>
  <c r="J28" i="7" s="1"/>
  <c r="K20" i="7"/>
  <c r="K28" i="7" s="1"/>
  <c r="L20" i="7"/>
  <c r="L28" i="7" s="1"/>
  <c r="M20" i="7"/>
  <c r="M28" i="7" s="1"/>
  <c r="B20" i="7"/>
  <c r="AE16" i="7"/>
  <c r="AA16" i="7"/>
  <c r="AE15" i="7"/>
  <c r="AA15" i="7"/>
  <c r="N15" i="7"/>
  <c r="AE14" i="7"/>
  <c r="AA14" i="7"/>
  <c r="N14" i="7"/>
  <c r="AE13" i="7"/>
  <c r="AA13" i="7"/>
  <c r="N13" i="7"/>
  <c r="AE12" i="7"/>
  <c r="AA12" i="7"/>
  <c r="N12" i="7"/>
  <c r="AE7" i="7"/>
  <c r="N7" i="7"/>
  <c r="AE6" i="7"/>
  <c r="AA6" i="7"/>
  <c r="AE5" i="7"/>
  <c r="AA5" i="7"/>
  <c r="N5" i="7"/>
  <c r="AE4" i="7"/>
  <c r="AA4" i="7"/>
  <c r="N4" i="7"/>
  <c r="AE41" i="3"/>
  <c r="AE40" i="3"/>
  <c r="AE39" i="3"/>
  <c r="AE38" i="3"/>
  <c r="AE37" i="3"/>
  <c r="AE25" i="3"/>
  <c r="AE24" i="3"/>
  <c r="AE23" i="3"/>
  <c r="AE22" i="3"/>
  <c r="AE17" i="3"/>
  <c r="AE16" i="3"/>
  <c r="AE15" i="3"/>
  <c r="AE14" i="3"/>
  <c r="AE6" i="3"/>
  <c r="AE7" i="3"/>
  <c r="AE8" i="3"/>
  <c r="AE9" i="3"/>
  <c r="AA41" i="3"/>
  <c r="AA40" i="3"/>
  <c r="AA39" i="3"/>
  <c r="AA38" i="3"/>
  <c r="AA37" i="3"/>
  <c r="AA25" i="3"/>
  <c r="AA24" i="3"/>
  <c r="AA23" i="3"/>
  <c r="AA22" i="3"/>
  <c r="AA21" i="3"/>
  <c r="AA17" i="3"/>
  <c r="AA16" i="3"/>
  <c r="AA15" i="3"/>
  <c r="AA14" i="3"/>
  <c r="AA13" i="3"/>
  <c r="AA6" i="3"/>
  <c r="AA7" i="3"/>
  <c r="AA8" i="3"/>
  <c r="AA9" i="3"/>
  <c r="AA5" i="3"/>
  <c r="N41" i="3"/>
  <c r="N40" i="3"/>
  <c r="N39" i="3"/>
  <c r="N38" i="3"/>
  <c r="N37" i="3"/>
  <c r="N25" i="3"/>
  <c r="N24" i="3"/>
  <c r="N23" i="3"/>
  <c r="N22" i="3"/>
  <c r="N21" i="3"/>
  <c r="N17" i="3"/>
  <c r="N16" i="3"/>
  <c r="N15" i="3"/>
  <c r="N14" i="3"/>
  <c r="N13" i="3"/>
  <c r="N6" i="3"/>
  <c r="N7" i="3"/>
  <c r="N8" i="3"/>
  <c r="N9" i="3"/>
  <c r="N5" i="3"/>
  <c r="AD49" i="3"/>
  <c r="AC49" i="3"/>
  <c r="AB49" i="3"/>
  <c r="AE49" i="3" s="1"/>
  <c r="Z49" i="3"/>
  <c r="Y49" i="3"/>
  <c r="X49" i="3"/>
  <c r="W49" i="3"/>
  <c r="V49" i="3"/>
  <c r="U49" i="3"/>
  <c r="T49" i="3"/>
  <c r="S49" i="3"/>
  <c r="R49" i="3"/>
  <c r="Q49" i="3"/>
  <c r="P49" i="3"/>
  <c r="O49" i="3"/>
  <c r="M49" i="3"/>
  <c r="L49" i="3"/>
  <c r="K49" i="3"/>
  <c r="J49" i="3"/>
  <c r="I49" i="3"/>
  <c r="H49" i="3"/>
  <c r="G49" i="3"/>
  <c r="F49" i="3"/>
  <c r="E49" i="3"/>
  <c r="D49" i="3"/>
  <c r="C49" i="3"/>
  <c r="B49" i="3"/>
  <c r="AD48" i="3"/>
  <c r="AC48" i="3"/>
  <c r="AB48" i="3"/>
  <c r="Z48" i="3"/>
  <c r="Y48" i="3"/>
  <c r="X48" i="3"/>
  <c r="W48" i="3"/>
  <c r="V48" i="3"/>
  <c r="U48" i="3"/>
  <c r="T48" i="3"/>
  <c r="S48" i="3"/>
  <c r="R48" i="3"/>
  <c r="Q48" i="3"/>
  <c r="P48" i="3"/>
  <c r="O48" i="3"/>
  <c r="M48" i="3"/>
  <c r="L48" i="3"/>
  <c r="K48" i="3"/>
  <c r="J48" i="3"/>
  <c r="I48" i="3"/>
  <c r="H48" i="3"/>
  <c r="G48" i="3"/>
  <c r="F48" i="3"/>
  <c r="E48" i="3"/>
  <c r="D48" i="3"/>
  <c r="C48" i="3"/>
  <c r="B48" i="3"/>
  <c r="AD47" i="3"/>
  <c r="AC47" i="3"/>
  <c r="AB47" i="3"/>
  <c r="Z47" i="3"/>
  <c r="Y47" i="3"/>
  <c r="X47" i="3"/>
  <c r="W47" i="3"/>
  <c r="V47" i="3"/>
  <c r="U47" i="3"/>
  <c r="T47" i="3"/>
  <c r="S47" i="3"/>
  <c r="R47" i="3"/>
  <c r="Q47" i="3"/>
  <c r="P47" i="3"/>
  <c r="O47" i="3"/>
  <c r="M47" i="3"/>
  <c r="L47" i="3"/>
  <c r="K47" i="3"/>
  <c r="J47" i="3"/>
  <c r="I47" i="3"/>
  <c r="H47" i="3"/>
  <c r="G47" i="3"/>
  <c r="F47" i="3"/>
  <c r="E47" i="3"/>
  <c r="D47" i="3"/>
  <c r="C47" i="3"/>
  <c r="B47" i="3"/>
  <c r="AD46" i="3"/>
  <c r="AC46" i="3"/>
  <c r="AB46" i="3"/>
  <c r="Z46" i="3"/>
  <c r="Y46" i="3"/>
  <c r="X46" i="3"/>
  <c r="W46" i="3"/>
  <c r="V46" i="3"/>
  <c r="U46" i="3"/>
  <c r="T46" i="3"/>
  <c r="S46" i="3"/>
  <c r="R46" i="3"/>
  <c r="Q46" i="3"/>
  <c r="P46" i="3"/>
  <c r="O46" i="3"/>
  <c r="M46" i="3"/>
  <c r="L46" i="3"/>
  <c r="K46" i="3"/>
  <c r="J46" i="3"/>
  <c r="I46" i="3"/>
  <c r="H46" i="3"/>
  <c r="G46" i="3"/>
  <c r="F46" i="3"/>
  <c r="E46" i="3"/>
  <c r="D46" i="3"/>
  <c r="C46" i="3"/>
  <c r="B46" i="3"/>
  <c r="AD45" i="3"/>
  <c r="AC45" i="3"/>
  <c r="AB45" i="3"/>
  <c r="Z45" i="3"/>
  <c r="Y45" i="3"/>
  <c r="X45" i="3"/>
  <c r="W45" i="3"/>
  <c r="V45" i="3"/>
  <c r="U45" i="3"/>
  <c r="T45" i="3"/>
  <c r="S45" i="3"/>
  <c r="R45" i="3"/>
  <c r="Q45" i="3"/>
  <c r="P45" i="3"/>
  <c r="O45" i="3"/>
  <c r="M45" i="3"/>
  <c r="L45" i="3"/>
  <c r="K45" i="3"/>
  <c r="J45" i="3"/>
  <c r="I45" i="3"/>
  <c r="H45" i="3"/>
  <c r="G45" i="3"/>
  <c r="F45" i="3"/>
  <c r="E45" i="3"/>
  <c r="D45" i="3"/>
  <c r="C45" i="3"/>
  <c r="B45" i="3"/>
  <c r="AA45" i="3" l="1"/>
  <c r="AE47" i="3"/>
  <c r="AA47" i="3"/>
  <c r="AE46" i="3"/>
  <c r="AA46" i="3"/>
  <c r="AE45" i="3"/>
  <c r="AA49" i="3"/>
  <c r="AA48" i="3"/>
  <c r="AE48" i="3"/>
  <c r="K83" i="9"/>
  <c r="AA28" i="7"/>
  <c r="AA20" i="7"/>
  <c r="AE20" i="7"/>
  <c r="AE22" i="7"/>
  <c r="AE23" i="7"/>
  <c r="AB31" i="7"/>
  <c r="AE21" i="7"/>
  <c r="AB29" i="7"/>
  <c r="AE8" i="7"/>
  <c r="AC32" i="7"/>
  <c r="AD32" i="7"/>
  <c r="AA30" i="7"/>
  <c r="AA22" i="7"/>
  <c r="AA31" i="7"/>
  <c r="W32" i="7"/>
  <c r="U32" i="7"/>
  <c r="AA23" i="7"/>
  <c r="R32" i="7"/>
  <c r="Z32" i="7"/>
  <c r="S32" i="7"/>
  <c r="O32" i="7"/>
  <c r="X32" i="7"/>
  <c r="Y32" i="7"/>
  <c r="AA21" i="7"/>
  <c r="P32" i="7"/>
  <c r="Q32" i="7"/>
  <c r="O24" i="7"/>
  <c r="T32" i="7"/>
  <c r="P29" i="7"/>
  <c r="AA29" i="7" s="1"/>
  <c r="W24" i="7"/>
  <c r="AA8" i="7"/>
  <c r="V32" i="7"/>
  <c r="K32" i="7"/>
  <c r="M32" i="7"/>
  <c r="G32" i="7"/>
  <c r="L32" i="7"/>
  <c r="J32" i="7"/>
  <c r="I32" i="7"/>
  <c r="H32" i="7"/>
  <c r="F32" i="7"/>
  <c r="E32" i="7"/>
  <c r="D32" i="7"/>
  <c r="N8" i="7"/>
  <c r="N28" i="7"/>
  <c r="AE24" i="7"/>
  <c r="AB28" i="7"/>
  <c r="V24" i="7"/>
  <c r="H24" i="7"/>
  <c r="N24" i="7" s="1"/>
  <c r="J24" i="7"/>
  <c r="I24" i="7"/>
  <c r="B24" i="7"/>
  <c r="N23" i="7"/>
  <c r="N31" i="7"/>
  <c r="N29" i="7"/>
  <c r="N21" i="7"/>
  <c r="N22" i="7"/>
  <c r="C32" i="7"/>
  <c r="B30" i="7"/>
  <c r="B32" i="7" s="1"/>
  <c r="N20" i="7"/>
  <c r="N49" i="3"/>
  <c r="N47" i="3"/>
  <c r="N45" i="3"/>
  <c r="N48" i="3"/>
  <c r="N46" i="3"/>
  <c r="L83" i="9" l="1"/>
  <c r="AB32" i="7"/>
  <c r="AA24" i="7"/>
  <c r="AA32" i="7"/>
  <c r="N32" i="7"/>
  <c r="N30" i="7"/>
  <c r="M83" i="9" l="1"/>
  <c r="N83" i="9" l="1"/>
  <c r="O83" i="9" l="1"/>
  <c r="P83" i="9" l="1"/>
  <c r="Q83" i="9" l="1"/>
  <c r="R83" i="9" l="1"/>
  <c r="S83" i="9" l="1"/>
  <c r="T83" i="9" l="1"/>
  <c r="U83" i="9" l="1"/>
  <c r="V83" i="9" l="1"/>
  <c r="W83" i="9" l="1"/>
  <c r="X83" i="9" l="1"/>
  <c r="Y83" i="9" l="1"/>
  <c r="Z83" i="9" l="1"/>
  <c r="AA83" i="9" l="1"/>
  <c r="AB83" i="9" l="1"/>
  <c r="AC83" i="9" l="1"/>
  <c r="AD83" i="9" s="1"/>
  <c r="AE83" i="9" s="1"/>
  <c r="AF83" i="9" s="1"/>
  <c r="AG83" i="9" s="1"/>
  <c r="AH83" i="9" s="1"/>
  <c r="AI83" i="9" s="1"/>
  <c r="AJ83" i="9" s="1"/>
  <c r="AK83" i="9" s="1"/>
  <c r="AL83" i="9" s="1"/>
  <c r="AM83" i="9" s="1"/>
  <c r="AN83" i="9" s="1"/>
  <c r="AO83" i="9" s="1"/>
  <c r="AP83" i="9" s="1"/>
  <c r="AQ83" i="9" s="1"/>
  <c r="AR83" i="9" s="1"/>
  <c r="AS83" i="9" s="1"/>
  <c r="AT83" i="9" s="1"/>
  <c r="AU83" i="9" s="1"/>
  <c r="AV83" i="9" s="1"/>
  <c r="AW83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<sst xmlns="http://schemas.openxmlformats.org/spreadsheetml/2006/main" count="198" uniqueCount="73">
  <si>
    <t>DISTRICT</t>
  </si>
  <si>
    <t>ACCRA NORTHEAST</t>
  </si>
  <si>
    <t>ADENTA</t>
  </si>
  <si>
    <t>DODOWA</t>
  </si>
  <si>
    <t>AGBOGBA</t>
  </si>
  <si>
    <t>TOTAL SALES(m3)</t>
  </si>
  <si>
    <t>BILLING(GHS)</t>
  </si>
  <si>
    <t>COLLECTION(GHS)</t>
  </si>
  <si>
    <t>ARREARS(GHS)</t>
  </si>
  <si>
    <t>COLLECTION RATIO(%)</t>
  </si>
  <si>
    <t>CUSTOMERS</t>
  </si>
  <si>
    <t>METERING RATIO(%)</t>
  </si>
  <si>
    <t>UNBILLED CUSTOMERS</t>
  </si>
  <si>
    <t>TOTAL</t>
  </si>
  <si>
    <t>AVERAGE TARIFF (GHS/m3)</t>
  </si>
  <si>
    <t>REGIONAL AVERAGE</t>
  </si>
  <si>
    <t>2024 Total</t>
  </si>
  <si>
    <t>2025 Total</t>
  </si>
  <si>
    <t>2026 Q1 Total</t>
  </si>
  <si>
    <t>SIV (m3)</t>
  </si>
  <si>
    <t>NRW (%)</t>
  </si>
  <si>
    <t>NRW (m3)</t>
  </si>
  <si>
    <t>2025 DISTRICT AVERAGE</t>
  </si>
  <si>
    <t>2024 DISTRICT AVERAGE</t>
  </si>
  <si>
    <t>2026 Q1 DISTRICT AVERAGE</t>
  </si>
  <si>
    <t>Sum of Jan-2024</t>
  </si>
  <si>
    <t>Sum of Feb-2024</t>
  </si>
  <si>
    <t>Sum of Mar-2024</t>
  </si>
  <si>
    <t>Sum of Apr-2024</t>
  </si>
  <si>
    <t>Sum of May-2024</t>
  </si>
  <si>
    <t>Sum of Jun-2024</t>
  </si>
  <si>
    <t>Sum of Jul-2024</t>
  </si>
  <si>
    <t>Sum of Aug-2024</t>
  </si>
  <si>
    <t>Sum of Sep-2024</t>
  </si>
  <si>
    <t>Sum of Oct-2024</t>
  </si>
  <si>
    <t>Sum of Nov-2024</t>
  </si>
  <si>
    <t>Sum of Dec-2024</t>
  </si>
  <si>
    <t>Use the dropdown to filter by district. All charts update automatically.</t>
  </si>
  <si>
    <t>SELECT DISTRICT:</t>
  </si>
  <si>
    <t>DATA BLOCK (driven by selector — do not edit)</t>
  </si>
  <si>
    <t>Month</t>
  </si>
  <si>
    <t>Sales (m³)</t>
  </si>
  <si>
    <t>Billing (GHS)</t>
  </si>
  <si>
    <t>Collection (GHS)</t>
  </si>
  <si>
    <t>Collection Ratio (%)</t>
  </si>
  <si>
    <t>Arrears (GHS)</t>
  </si>
  <si>
    <t>Customers</t>
  </si>
  <si>
    <t>TIME PERIOD:</t>
  </si>
  <si>
    <t>FILTERED FOR CHARTS (do not edit)</t>
  </si>
  <si>
    <t>COMMERCIAL PERFORMANCE DASHBOARD</t>
  </si>
  <si>
    <t>AGE OF ARREARS (MONTH)</t>
  </si>
  <si>
    <t>AGE OF ARREARS EFFICIENCY</t>
  </si>
  <si>
    <t>Age of Arrears (mo)</t>
  </si>
  <si>
    <t>Age Efficiency (%)</t>
  </si>
  <si>
    <t>Water Sales</t>
  </si>
  <si>
    <t>Billing</t>
  </si>
  <si>
    <t>Collection</t>
  </si>
  <si>
    <t>NRW</t>
  </si>
  <si>
    <t>Metering Ratio</t>
  </si>
  <si>
    <t>Age of Arrears</t>
  </si>
  <si>
    <t>Accra Northeast</t>
  </si>
  <si>
    <t>Adenta</t>
  </si>
  <si>
    <t>Dodowa</t>
  </si>
  <si>
    <t>Agbogba</t>
  </si>
  <si>
    <t>TARGETS BLOCK (driven by selector — do not edit)</t>
  </si>
  <si>
    <t>Sales Target (m³)</t>
  </si>
  <si>
    <t>Billing Target (GHS)</t>
  </si>
  <si>
    <t>Collection Target (GHS)</t>
  </si>
  <si>
    <t>Collection Ratio Target (%)</t>
  </si>
  <si>
    <t>NRW Target (%)</t>
  </si>
  <si>
    <t>Age of Arrears Target (mo)</t>
  </si>
  <si>
    <t>FILTERED TARGETS (do not edit)</t>
  </si>
  <si>
    <t>2026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</si>
</sst>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-yyyy"/>
    <numFmt numFmtId="165" formatCode="[$-10409]#,##0"/>
    <numFmt numFmtId="166" formatCode="[$-10409]#,##0.00"/>
    <numFmt numFmtId="167" formatCode="0.0%"/>
    <numFmt numFmtId="169" formatCode="0.0"/>
  </numFmts>
  <fonts count="17" x14ac:knownFonts="1">
    <font>
      <sz val="11"/>
      <color theme="1"/>
      <name val="Perpetua"/>
      <family val="2"/>
    </font>
    <font>
      <sz val="8"/>
      <name val="Perpetua"/>
      <family val="1"/>
    </font>
    <font>
      <sz val="8"/>
      <color theme="1"/>
      <name val="Perpetua"/>
      <family val="1"/>
    </font>
    <font>
      <sz val="11"/>
      <color theme="1"/>
      <name val="Perpetua"/>
      <family val="2"/>
    </font>
    <font>
      <sz val="11"/>
      <color theme="1"/>
      <name val="Perpetua"/>
      <family val="1"/>
    </font>
    <font>
      <b/>
      <sz val="11"/>
      <name val="Perpetua"/>
      <family val="1"/>
    </font>
    <font>
      <sz val="11"/>
      <name val="Perpetua"/>
      <family val="1"/>
    </font>
    <font>
      <b/>
      <sz val="11"/>
      <color theme="1"/>
      <name val="Perpetua"/>
      <family val="1"/>
    </font>
    <font>
      <b/>
      <i/>
      <sz val="11"/>
      <name val="Perpetua"/>
      <family val="1"/>
    </font>
    <font>
      <b/>
      <i/>
      <sz val="11"/>
      <color theme="1"/>
      <name val="Perpetua"/>
      <family val="1"/>
    </font>
    <font>
      <b/>
      <sz val="11"/>
      <color theme="1"/>
      <name val="Perpetua"/>
      <family val="2"/>
    </font>
    <font>
      <b/>
      <sz val="18"/>
      <color rgb="FFFFFFFF"/>
      <name val="Perpetua"/>
      <family val="2"/>
    </font>
    <font>
      <i/>
      <sz val="11"/>
      <color rgb="FF595959"/>
      <name val="Perpetua"/>
      <family val="2"/>
    </font>
    <font>
      <b/>
      <sz val="14"/>
      <color rgb="FF0000FF"/>
      <name val="Perpetua"/>
      <family val="2"/>
    </font>
    <font>
      <i/>
      <sz val="9"/>
      <color rgb="FF808080"/>
      <name val="Perpetua"/>
      <family val="2"/>
    </font>
    <font>
      <b/>
      <i/>
      <sz val="11"/>
      <color rgb="FF808080"/>
      <name val="Perpetua"/>
      <family val="2"/>
    </font>
    <font>
      <b/>
      <sz val="11"/>
      <color rgb="FF666666"/>
      <name val="Perpetu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9" fontId="1" fillId="0" borderId="1" xfId="0" applyNumberFormat="1" applyFont="1" applyBorder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5" fontId="6" fillId="0" borderId="11" xfId="0" applyNumberFormat="1" applyFont="1" applyBorder="1" applyAlignment="1">
      <alignment vertical="center"/>
    </xf>
    <xf numFmtId="165" fontId="6" fillId="0" borderId="10" xfId="0" applyNumberFormat="1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5" fillId="0" borderId="13" xfId="0" applyNumberFormat="1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65" fontId="5" fillId="0" borderId="16" xfId="0" applyNumberFormat="1" applyFont="1" applyBorder="1" applyAlignment="1">
      <alignment vertical="center"/>
    </xf>
    <xf numFmtId="165" fontId="5" fillId="0" borderId="17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165" fontId="6" fillId="0" borderId="9" xfId="0" applyNumberFormat="1" applyFont="1" applyBorder="1" applyAlignment="1">
      <alignment vertical="center"/>
    </xf>
    <xf numFmtId="164" fontId="5" fillId="0" borderId="19" xfId="0" applyNumberFormat="1" applyFont="1" applyBorder="1" applyAlignment="1">
      <alignment horizontal="right" vertical="center"/>
    </xf>
    <xf numFmtId="164" fontId="5" fillId="0" borderId="18" xfId="0" applyNumberFormat="1" applyFont="1" applyBorder="1" applyAlignment="1">
      <alignment vertical="center"/>
    </xf>
    <xf numFmtId="165" fontId="8" fillId="0" borderId="21" xfId="0" applyNumberFormat="1" applyFont="1" applyBorder="1" applyAlignment="1">
      <alignment vertical="center"/>
    </xf>
    <xf numFmtId="165" fontId="6" fillId="0" borderId="20" xfId="0" applyNumberFormat="1" applyFont="1" applyBorder="1" applyAlignment="1">
      <alignment vertical="center"/>
    </xf>
    <xf numFmtId="165" fontId="8" fillId="0" borderId="23" xfId="0" applyNumberFormat="1" applyFont="1" applyBorder="1" applyAlignment="1">
      <alignment vertical="center"/>
    </xf>
    <xf numFmtId="165" fontId="6" fillId="0" borderId="22" xfId="0" applyNumberFormat="1" applyFont="1" applyBorder="1" applyAlignment="1">
      <alignment vertical="center"/>
    </xf>
    <xf numFmtId="165" fontId="8" fillId="0" borderId="25" xfId="0" applyNumberFormat="1" applyFont="1" applyBorder="1" applyAlignment="1">
      <alignment vertical="center"/>
    </xf>
    <xf numFmtId="165" fontId="6" fillId="0" borderId="24" xfId="0" applyNumberFormat="1" applyFont="1" applyBorder="1" applyAlignment="1">
      <alignment vertical="center"/>
    </xf>
    <xf numFmtId="165" fontId="8" fillId="0" borderId="26" xfId="0" applyNumberFormat="1" applyFont="1" applyBorder="1" applyAlignment="1">
      <alignment vertical="center"/>
    </xf>
    <xf numFmtId="165" fontId="5" fillId="0" borderId="18" xfId="0" applyNumberFormat="1" applyFont="1" applyBorder="1" applyAlignment="1">
      <alignment vertical="center"/>
    </xf>
    <xf numFmtId="165" fontId="6" fillId="0" borderId="27" xfId="0" applyNumberFormat="1" applyFont="1" applyBorder="1" applyAlignment="1">
      <alignment vertical="center"/>
    </xf>
    <xf numFmtId="165" fontId="5" fillId="0" borderId="28" xfId="0" applyNumberFormat="1" applyFont="1" applyBorder="1" applyAlignment="1">
      <alignment vertical="center"/>
    </xf>
    <xf numFmtId="0" fontId="7" fillId="0" borderId="19" xfId="0" applyFont="1" applyBorder="1" applyAlignment="1">
      <alignment horizontal="right" vertical="center"/>
    </xf>
    <xf numFmtId="165" fontId="9" fillId="0" borderId="21" xfId="0" applyNumberFormat="1" applyFont="1" applyBorder="1" applyAlignment="1">
      <alignment vertical="center"/>
    </xf>
    <xf numFmtId="165" fontId="9" fillId="0" borderId="23" xfId="0" applyNumberFormat="1" applyFont="1" applyBorder="1" applyAlignment="1">
      <alignment vertical="center"/>
    </xf>
    <xf numFmtId="165" fontId="9" fillId="0" borderId="25" xfId="0" applyNumberFormat="1" applyFont="1" applyBorder="1" applyAlignment="1">
      <alignment vertical="center"/>
    </xf>
    <xf numFmtId="165" fontId="9" fillId="0" borderId="26" xfId="0" applyNumberFormat="1" applyFont="1" applyBorder="1" applyAlignment="1">
      <alignment vertical="center"/>
    </xf>
    <xf numFmtId="166" fontId="6" fillId="0" borderId="11" xfId="0" applyNumberFormat="1" applyFont="1" applyBorder="1" applyAlignment="1">
      <alignment vertical="center"/>
    </xf>
    <xf numFmtId="9" fontId="6" fillId="0" borderId="11" xfId="1" applyFont="1" applyBorder="1" applyAlignment="1">
      <alignment vertical="center"/>
    </xf>
    <xf numFmtId="9" fontId="6" fillId="0" borderId="10" xfId="1" applyFont="1" applyBorder="1" applyAlignment="1">
      <alignment vertical="center"/>
    </xf>
    <xf numFmtId="9" fontId="6" fillId="0" borderId="20" xfId="1" applyFont="1" applyBorder="1" applyAlignment="1">
      <alignment vertical="center"/>
    </xf>
    <xf numFmtId="9" fontId="6" fillId="0" borderId="1" xfId="1" applyFont="1" applyBorder="1" applyAlignment="1">
      <alignment vertical="center"/>
    </xf>
    <xf numFmtId="9" fontId="6" fillId="0" borderId="22" xfId="1" applyFont="1" applyBorder="1" applyAlignment="1">
      <alignment vertical="center"/>
    </xf>
    <xf numFmtId="9" fontId="6" fillId="0" borderId="3" xfId="1" applyFont="1" applyBorder="1" applyAlignment="1">
      <alignment vertical="center"/>
    </xf>
    <xf numFmtId="9" fontId="6" fillId="0" borderId="24" xfId="1" applyFont="1" applyBorder="1" applyAlignment="1">
      <alignment vertical="center"/>
    </xf>
    <xf numFmtId="9" fontId="6" fillId="0" borderId="4" xfId="1" applyFont="1" applyBorder="1" applyAlignment="1">
      <alignment vertical="center"/>
    </xf>
    <xf numFmtId="9" fontId="6" fillId="0" borderId="2" xfId="1" applyFont="1" applyBorder="1" applyAlignment="1">
      <alignment vertical="center"/>
    </xf>
    <xf numFmtId="9" fontId="5" fillId="0" borderId="16" xfId="1" applyFont="1" applyBorder="1" applyAlignment="1">
      <alignment vertical="center"/>
    </xf>
    <xf numFmtId="9" fontId="5" fillId="0" borderId="17" xfId="1" applyFont="1" applyBorder="1" applyAlignment="1">
      <alignment vertical="center"/>
    </xf>
    <xf numFmtId="9" fontId="5" fillId="0" borderId="18" xfId="1" applyFont="1" applyBorder="1" applyAlignment="1">
      <alignment vertical="center"/>
    </xf>
    <xf numFmtId="164" fontId="5" fillId="0" borderId="19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9" fontId="5" fillId="0" borderId="28" xfId="1" applyFont="1" applyBorder="1" applyAlignment="1">
      <alignment vertical="center"/>
    </xf>
    <xf numFmtId="166" fontId="8" fillId="0" borderId="21" xfId="0" applyNumberFormat="1" applyFont="1" applyBorder="1" applyAlignment="1">
      <alignment vertical="center"/>
    </xf>
    <xf numFmtId="166" fontId="8" fillId="0" borderId="26" xfId="0" applyNumberFormat="1" applyFont="1" applyBorder="1" applyAlignment="1">
      <alignment vertical="center"/>
    </xf>
    <xf numFmtId="9" fontId="8" fillId="0" borderId="21" xfId="1" applyFont="1" applyBorder="1" applyAlignment="1">
      <alignment vertical="center"/>
    </xf>
    <xf numFmtId="9" fontId="8" fillId="0" borderId="26" xfId="1" applyFont="1" applyBorder="1" applyAlignment="1">
      <alignment vertical="center"/>
    </xf>
    <xf numFmtId="9" fontId="8" fillId="0" borderId="29" xfId="1" applyFont="1" applyBorder="1" applyAlignment="1">
      <alignment vertical="center"/>
    </xf>
    <xf numFmtId="166" fontId="9" fillId="0" borderId="21" xfId="0" applyNumberFormat="1" applyFont="1" applyBorder="1" applyAlignment="1">
      <alignment vertical="center"/>
    </xf>
    <xf numFmtId="166" fontId="9" fillId="0" borderId="23" xfId="0" applyNumberFormat="1" applyFont="1" applyBorder="1" applyAlignment="1">
      <alignment vertical="center"/>
    </xf>
    <xf numFmtId="166" fontId="9" fillId="0" borderId="25" xfId="0" applyNumberFormat="1" applyFont="1" applyBorder="1" applyAlignment="1">
      <alignment vertical="center"/>
    </xf>
    <xf numFmtId="166" fontId="9" fillId="0" borderId="26" xfId="0" applyNumberFormat="1" applyFont="1" applyBorder="1" applyAlignment="1">
      <alignment vertical="center"/>
    </xf>
    <xf numFmtId="9" fontId="9" fillId="0" borderId="21" xfId="1" applyFont="1" applyBorder="1" applyAlignment="1">
      <alignment vertical="center"/>
    </xf>
    <xf numFmtId="9" fontId="9" fillId="0" borderId="23" xfId="1" applyFont="1" applyBorder="1" applyAlignment="1">
      <alignment vertical="center"/>
    </xf>
    <xf numFmtId="9" fontId="9" fillId="0" borderId="25" xfId="1" applyFont="1" applyBorder="1" applyAlignment="1">
      <alignment vertical="center"/>
    </xf>
    <xf numFmtId="9" fontId="9" fillId="0" borderId="26" xfId="1" applyFont="1" applyBorder="1" applyAlignment="1">
      <alignment vertical="center"/>
    </xf>
    <xf numFmtId="166" fontId="6" fillId="0" borderId="10" xfId="0" applyNumberFormat="1" applyFont="1" applyBorder="1" applyAlignment="1">
      <alignment vertical="center"/>
    </xf>
    <xf numFmtId="166" fontId="6" fillId="0" borderId="20" xfId="0" applyNumberFormat="1" applyFont="1" applyBorder="1" applyAlignment="1">
      <alignment vertical="center"/>
    </xf>
    <xf numFmtId="166" fontId="6" fillId="0" borderId="27" xfId="0" applyNumberFormat="1" applyFont="1" applyBorder="1" applyAlignment="1">
      <alignment vertical="center"/>
    </xf>
    <xf numFmtId="166" fontId="6" fillId="0" borderId="4" xfId="0" applyNumberFormat="1" applyFont="1" applyBorder="1" applyAlignment="1">
      <alignment vertical="center"/>
    </xf>
    <xf numFmtId="166" fontId="6" fillId="0" borderId="22" xfId="0" applyNumberFormat="1" applyFont="1" applyBorder="1" applyAlignment="1">
      <alignment vertical="center"/>
    </xf>
    <xf numFmtId="166" fontId="8" fillId="0" borderId="23" xfId="0" applyNumberFormat="1" applyFont="1" applyBorder="1" applyAlignment="1">
      <alignment vertical="center"/>
    </xf>
    <xf numFmtId="166" fontId="6" fillId="0" borderId="2" xfId="0" applyNumberFormat="1" applyFont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6" fillId="0" borderId="24" xfId="0" applyNumberFormat="1" applyFont="1" applyBorder="1" applyAlignment="1">
      <alignment vertical="center"/>
    </xf>
    <xf numFmtId="166" fontId="8" fillId="0" borderId="25" xfId="0" applyNumberFormat="1" applyFont="1" applyBorder="1" applyAlignment="1">
      <alignment vertical="center"/>
    </xf>
    <xf numFmtId="166" fontId="6" fillId="0" borderId="9" xfId="0" applyNumberFormat="1" applyFont="1" applyBorder="1" applyAlignment="1">
      <alignment vertical="center"/>
    </xf>
    <xf numFmtId="166" fontId="5" fillId="0" borderId="16" xfId="0" applyNumberFormat="1" applyFont="1" applyBorder="1" applyAlignment="1">
      <alignment vertical="center"/>
    </xf>
    <xf numFmtId="166" fontId="5" fillId="0" borderId="17" xfId="0" applyNumberFormat="1" applyFont="1" applyBorder="1" applyAlignment="1">
      <alignment vertical="center"/>
    </xf>
    <xf numFmtId="166" fontId="5" fillId="0" borderId="18" xfId="0" applyNumberFormat="1" applyFont="1" applyBorder="1" applyAlignment="1">
      <alignment vertical="center"/>
    </xf>
    <xf numFmtId="166" fontId="5" fillId="0" borderId="28" xfId="0" applyNumberFormat="1" applyFont="1" applyBorder="1" applyAlignment="1">
      <alignment vertical="center"/>
    </xf>
    <xf numFmtId="165" fontId="8" fillId="0" borderId="29" xfId="0" applyNumberFormat="1" applyFont="1" applyBorder="1" applyAlignment="1">
      <alignment vertical="center"/>
    </xf>
    <xf numFmtId="165" fontId="8" fillId="0" borderId="30" xfId="0" applyNumberFormat="1" applyFont="1" applyBorder="1" applyAlignment="1">
      <alignment vertical="center"/>
    </xf>
    <xf numFmtId="165" fontId="9" fillId="0" borderId="29" xfId="0" applyNumberFormat="1" applyFont="1" applyBorder="1" applyAlignment="1">
      <alignment vertical="center"/>
    </xf>
    <xf numFmtId="165" fontId="9" fillId="0" borderId="30" xfId="0" applyNumberFormat="1" applyFont="1" applyBorder="1" applyAlignment="1">
      <alignment vertical="center"/>
    </xf>
    <xf numFmtId="165" fontId="0" fillId="0" borderId="0" xfId="0" applyNumberFormat="1"/>
    <xf numFmtId="0" fontId="10" fillId="3" borderId="0" xfId="0" applyFont="1" applyFill="1" applyAlignment="1">
      <alignment horizontal="right"/>
    </xf>
    <xf numFmtId="0" fontId="13" fillId="3" borderId="31" xfId="0" applyFont="1" applyFill="1" applyBorder="1" applyAlignment="1">
      <alignment horizontal="center"/>
    </xf>
    <xf numFmtId="0" fontId="14" fillId="0" borderId="0" xfId="0" applyFont="1"/>
    <xf numFmtId="0" fontId="10" fillId="4" borderId="0" xfId="0" applyFont="1" applyFill="1"/>
    <xf numFmtId="17" fontId="0" fillId="0" borderId="0" xfId="0" applyNumberFormat="1"/>
    <xf numFmtId="3" fontId="0" fillId="0" borderId="0" xfId="0" applyNumberFormat="1"/>
    <xf numFmtId="167" fontId="0" fillId="0" borderId="0" xfId="0" applyNumberFormat="1"/>
    <xf numFmtId="0" fontId="15" fillId="4" borderId="0" xfId="0" applyFont="1" applyFill="1"/>
    <xf numFmtId="49" fontId="13" fillId="3" borderId="31" xfId="0" applyNumberFormat="1" applyFont="1" applyFill="1" applyBorder="1" applyAlignment="1">
      <alignment horizontal="center"/>
    </xf>
    <xf numFmtId="9" fontId="6" fillId="0" borderId="27" xfId="1" applyFont="1" applyBorder="1" applyAlignment="1">
      <alignment vertical="center"/>
    </xf>
    <xf numFmtId="9" fontId="6" fillId="0" borderId="9" xfId="1" applyFont="1" applyBorder="1" applyAlignment="1">
      <alignment vertical="center"/>
    </xf>
    <xf numFmtId="9" fontId="9" fillId="0" borderId="29" xfId="1" applyFont="1" applyBorder="1" applyAlignment="1">
      <alignment vertical="center"/>
    </xf>
    <xf numFmtId="9" fontId="8" fillId="0" borderId="30" xfId="1" applyFont="1" applyBorder="1" applyAlignment="1">
      <alignment vertical="center"/>
    </xf>
    <xf numFmtId="9" fontId="9" fillId="0" borderId="30" xfId="1" applyFont="1" applyBorder="1" applyAlignment="1">
      <alignment vertical="center"/>
    </xf>
    <xf numFmtId="2" fontId="0" fillId="0" borderId="0" xfId="0" applyNumberFormat="1"/>
    <xf numFmtId="0" fontId="12" fillId="0" borderId="0" xfId="0" applyFont="1"/>
    <xf numFmtId="0" fontId="1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2" applyFont="1"/>
    <xf numFmtId="9" fontId="0" fillId="0" borderId="0" xfId="1" applyFont="1"/>
    <xf numFmtId="169" fontId="0" fillId="0" borderId="0" xfId="0" applyNumberFormat="1"/>
    <xf numFmtId="0" fontId="16" fillId="4" borderId="0" xfId="0" applyFont="1" applyFill="1"/>
    <xf numFmtId="9" fontId="0" fillId="0" borderId="0" xfId="0" applyNumberFormat="1"/>
    <xf numFmtId="164" fontId="0" fillId="0" borderId="0" xfId="0" applyNumberFormat="1"/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r>
              <a:rPr lang="en-US"/>
              <a:t>Billing vs Collection Trend (GHS)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erpetua" panose="02020502060401020303" pitchFamily="18" charset="77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Billing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Dashboard!$B$95:$AW$95</c:f>
              <c:numCache>
                <c:formatCode>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5774412.6399999987</c:v>
                </c:pt>
                <c:pt idx="25">
                  <c:v>5394056.1699999999</c:v>
                </c:pt>
                <c:pt idx="26">
                  <c:v>5433838.2200000007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8-9E46-9641-864F0A176B62}"/>
            </c:ext>
          </c:extLst>
        </c:ser>
        <c:ser>
          <c:idx val="1"/>
          <c:order val="1"/>
          <c:tx>
            <c:v>Collection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Dashboard!$B$96:$AW$96</c:f>
              <c:numCache>
                <c:formatCode>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4332767.8599999994</c:v>
                </c:pt>
                <c:pt idx="25">
                  <c:v>4496230.0000000009</c:v>
                </c:pt>
                <c:pt idx="26">
                  <c:v>5028576.6300000008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8-9E46-9641-864F0A176B62}"/>
            </c:ext>
          </c:extLst>
        </c:ser>
        <c:ser>
          <c:idx val="2"/>
          <c:order val="2"/>
          <c:tx>
            <c:v>Billing Target</c:v>
          </c:tx>
          <c:spPr>
            <a:ln w="22225" cap="rnd">
              <a:solidFill>
                <a:srgbClr val="1565C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Dashboard!$B$116:$AW$116</c:f>
              <c:numCache>
                <c:formatCode>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6187377.6699999999</c:v>
                </c:pt>
                <c:pt idx="25">
                  <c:v>6187377.6699999999</c:v>
                </c:pt>
                <c:pt idx="26">
                  <c:v>6187377.6699999999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F-7C4D-A408-D2D84FA02036}"/>
            </c:ext>
          </c:extLst>
        </c:ser>
        <c:ser>
          <c:idx val="3"/>
          <c:order val="3"/>
          <c:tx>
            <c:v>Collection Target</c:v>
          </c:tx>
          <c:spPr>
            <a:ln w="22225" cap="rnd">
              <a:solidFill>
                <a:srgbClr val="2E7D32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Dashboard!$B$117:$AW$117</c:f>
              <c:numCache>
                <c:formatCode>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6187377.6699999999</c:v>
                </c:pt>
                <c:pt idx="25">
                  <c:v>6187377.6699999999</c:v>
                </c:pt>
                <c:pt idx="26">
                  <c:v>6187377.6699999999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F-7C4D-A408-D2D84FA02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776512"/>
        <c:axId val="1847784128"/>
      </c:lineChart>
      <c:dateAx>
        <c:axId val="18477765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847784128"/>
        <c:crosses val="autoZero"/>
        <c:auto val="1"/>
        <c:lblOffset val="100"/>
        <c:baseTimeUnit val="months"/>
      </c:dateAx>
      <c:valAx>
        <c:axId val="18477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84777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erpetua" panose="02020502060401020303" pitchFamily="18" charset="77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erpetua" panose="02020502060401020303" pitchFamily="18" charset="77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r>
              <a:rPr lang="en-US"/>
              <a:t>Collection Ratio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erpetua" panose="02020502060401020303" pitchFamily="18" charset="77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Collection Ratio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Dashboard!$B$97:$AW$97</c:f>
              <c:numCache>
                <c:formatCode>0.0%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0.75033914791375222</c:v>
                </c:pt>
                <c:pt idx="25">
                  <c:v>0.83355268434292218</c:v>
                </c:pt>
                <c:pt idx="26">
                  <c:v>0.92541890766854673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8-5F46-951F-34510CD4A5A1}"/>
            </c:ext>
          </c:extLst>
        </c:ser>
        <c:ser>
          <c:idx val="1"/>
          <c:order val="1"/>
          <c:tx>
            <c:v>Collection Ratio Target</c:v>
          </c:tx>
          <c:spPr>
            <a:ln w="22225" cap="rnd">
              <a:solidFill>
                <a:srgbClr val="FF6B35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Dashboard!$B$118:$AW$118</c:f>
              <c:numCache>
                <c:formatCode>0%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9-0142-B61D-99E9FD441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018944"/>
        <c:axId val="1653270592"/>
      </c:lineChart>
      <c:dateAx>
        <c:axId val="18460189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653270592"/>
        <c:crosses val="autoZero"/>
        <c:auto val="1"/>
        <c:lblOffset val="100"/>
        <c:baseTimeUnit val="months"/>
      </c:dateAx>
      <c:valAx>
        <c:axId val="16532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84601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erpetua" panose="02020502060401020303" pitchFamily="18" charset="77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r>
              <a:rPr lang="en-US"/>
              <a:t>Total Sales (m³)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erpetua" panose="02020502060401020303" pitchFamily="18" charset="77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 (m³)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Dashboard!$B$94:$AW$94</c:f>
              <c:numCache>
                <c:formatCode>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425326</c:v>
                </c:pt>
                <c:pt idx="25">
                  <c:v>392393</c:v>
                </c:pt>
                <c:pt idx="26">
                  <c:v>389624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B-1840-AF54-6E4EF195F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117824"/>
        <c:axId val="1814851840"/>
      </c:barChart>
      <c:lineChart>
        <c:grouping val="standard"/>
        <c:varyColors val="0"/>
        <c:ser>
          <c:idx val="1"/>
          <c:order val="1"/>
          <c:tx>
            <c:v>Sales Target</c:v>
          </c:tx>
          <c:spPr>
            <a:ln w="22225" cap="rnd">
              <a:solidFill>
                <a:srgbClr val="FF6B35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Dashboard!$B$115:$AW$115</c:f>
              <c:numCache>
                <c:formatCode>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435051.08999999997</c:v>
                </c:pt>
                <c:pt idx="25">
                  <c:v>435051.08999999997</c:v>
                </c:pt>
                <c:pt idx="26">
                  <c:v>435051.08999999997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D-3845-8F0A-52CD22162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117824"/>
        <c:axId val="1814851840"/>
      </c:lineChart>
      <c:dateAx>
        <c:axId val="15731178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814851840"/>
        <c:crosses val="autoZero"/>
        <c:auto val="1"/>
        <c:lblOffset val="100"/>
        <c:baseTimeUnit val="months"/>
      </c:dateAx>
      <c:valAx>
        <c:axId val="18148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5731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erpetua" panose="02020502060401020303" pitchFamily="18" charset="77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r>
              <a:rPr lang="en-US"/>
              <a:t>Non-Revenue Water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erpetua" panose="02020502060401020303" pitchFamily="18" charset="77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NRW 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Dashboard!$B$99:$AW$99</c:f>
              <c:numCache>
                <c:formatCode>0.0%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0.43799031967541152</c:v>
                </c:pt>
                <c:pt idx="25">
                  <c:v>0.40259132705074119</c:v>
                </c:pt>
                <c:pt idx="26">
                  <c:v>0.4952538448826671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9-8445-9AAB-7424D8B5D5FB}"/>
            </c:ext>
          </c:extLst>
        </c:ser>
        <c:ser>
          <c:idx val="1"/>
          <c:order val="1"/>
          <c:tx>
            <c:v>NRW Target</c:v>
          </c:tx>
          <c:spPr>
            <a:ln w="2222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Dashboard!$B$119:$AW$119</c:f>
              <c:numCache>
                <c:formatCode>0.0%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0.42200000000000004</c:v>
                </c:pt>
                <c:pt idx="25">
                  <c:v>0.42200000000000004</c:v>
                </c:pt>
                <c:pt idx="26">
                  <c:v>0.42200000000000004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D-E74F-8EE5-AC4A74B04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101888"/>
        <c:axId val="1815101440"/>
      </c:lineChart>
      <c:dateAx>
        <c:axId val="18151018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815101440"/>
        <c:crosses val="autoZero"/>
        <c:auto val="1"/>
        <c:lblOffset val="100"/>
        <c:baseTimeUnit val="months"/>
      </c:dateAx>
      <c:valAx>
        <c:axId val="181510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81510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erpetua" panose="02020502060401020303" pitchFamily="18" charset="77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r>
              <a:rPr lang="en-US"/>
              <a:t>Arrears (GHS)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erpetua" panose="02020502060401020303" pitchFamily="18" charset="77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Arrears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Dashboard!$B$98:$AW$98</c:f>
              <c:numCache>
                <c:formatCode>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32806895.070000004</c:v>
                </c:pt>
                <c:pt idx="25">
                  <c:v>33619689.769999996</c:v>
                </c:pt>
                <c:pt idx="26">
                  <c:v>33976662.379999995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F-CE48-9D83-0327573C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727488"/>
        <c:axId val="1583495616"/>
      </c:lineChart>
      <c:dateAx>
        <c:axId val="15747274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583495616"/>
        <c:crosses val="autoZero"/>
        <c:auto val="1"/>
        <c:lblOffset val="100"/>
        <c:baseTimeUnit val="months"/>
      </c:dateAx>
      <c:valAx>
        <c:axId val="15834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57472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erpetua" panose="02020502060401020303" pitchFamily="18" charset="77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r>
              <a:rPr lang="en-US"/>
              <a:t>Customer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erpetua" panose="02020502060401020303" pitchFamily="18" charset="77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Customers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Dashboard!$B$100:$AW$100</c:f>
              <c:numCache>
                <c:formatCode>#,##0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23310</c:v>
                </c:pt>
                <c:pt idx="25">
                  <c:v>23410</c:v>
                </c:pt>
                <c:pt idx="26">
                  <c:v>23498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2-B546-B29E-FCD6FB281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0983872"/>
        <c:axId val="1810973568"/>
      </c:barChart>
      <c:dateAx>
        <c:axId val="18109838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810973568"/>
        <c:crosses val="autoZero"/>
        <c:auto val="1"/>
        <c:lblOffset val="100"/>
        <c:baseTimeUnit val="months"/>
      </c:dateAx>
      <c:valAx>
        <c:axId val="181097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erpetua" panose="02020502060401020303" pitchFamily="18" charset="77"/>
                <a:ea typeface="+mn-ea"/>
                <a:cs typeface="+mn-cs"/>
              </a:defRPr>
            </a:pPr>
            <a:endParaRPr lang="en-GH"/>
          </a:p>
        </c:txPr>
        <c:crossAx val="181098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erpetua" panose="02020502060401020303" pitchFamily="18" charset="77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of Arrears (Months)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 of Arrears (months)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Dashboard!$B$103:$AW$103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5.68142547395089</c:v>
                </c:pt>
                <c:pt idx="25">
                  <c:v>6.2327288983347753</c:v>
                </c:pt>
                <c:pt idx="26">
                  <c:v>6.2527924101501853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6-714C-B96B-18C47CF5C103}"/>
            </c:ext>
          </c:extLst>
        </c:ser>
        <c:ser>
          <c:idx val="1"/>
          <c:order val="1"/>
          <c:tx>
            <c:v>Age Target</c:v>
          </c:tx>
          <c:spPr>
            <a:ln w="2222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Dashboard!$B$120:$AW$120</c:f>
              <c:numCache>
                <c:formatCode>0.0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A-6A4E-BDAD-6977FAD7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146240"/>
        <c:axId val="1653355648"/>
      </c:lineChart>
      <c:dateAx>
        <c:axId val="17151462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653355648"/>
        <c:crosses val="autoZero"/>
        <c:auto val="1"/>
        <c:lblOffset val="100"/>
        <c:baseTimeUnit val="months"/>
      </c:dateAx>
      <c:valAx>
        <c:axId val="165335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71514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of Arrears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Age Efficiency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Dashboard!$B$93:$AW$93</c:f>
              <c:numCache>
                <c:formatCode>mmm\-yy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cat>
          <c:val>
            <c:numRef>
              <c:f>Dashboard!$B$104:$AW$104</c:f>
              <c:numCache>
                <c:formatCode>0.0%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0.52803649607917602</c:v>
                </c:pt>
                <c:pt idx="25">
                  <c:v>0.48133009616406108</c:v>
                </c:pt>
                <c:pt idx="26">
                  <c:v>0.47978563867402457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E-454F-86D7-FCC5575AD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380480"/>
        <c:axId val="1583371520"/>
      </c:lineChart>
      <c:dateAx>
        <c:axId val="15833804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583371520"/>
        <c:crosses val="autoZero"/>
        <c:auto val="1"/>
        <c:lblOffset val="100"/>
        <c:baseTimeUnit val="months"/>
      </c:dateAx>
      <c:valAx>
        <c:axId val="158337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58338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5</xdr:row>
      <xdr:rowOff>190500</xdr:rowOff>
    </xdr:from>
    <xdr:to>
      <xdr:col>6</xdr:col>
      <xdr:colOff>127000</xdr:colOff>
      <xdr:row>23</xdr:row>
      <xdr:rowOff>88900</xdr:rowOff>
    </xdr:to>
    <xdr:graphicFrame macro="">
      <xdr:nvGraphicFramePr>
        <xdr:cNvPr id="2" name="ch_billcoll">
          <a:extLst>
            <a:ext uri="{FF2B5EF4-FFF2-40B4-BE49-F238E27FC236}">
              <a16:creationId xmlns:a16="http://schemas.microsoft.com/office/drawing/2014/main" id="{F12F7DFF-0368-43DD-A2E1-35B5296C0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5</xdr:row>
      <xdr:rowOff>190500</xdr:rowOff>
    </xdr:from>
    <xdr:to>
      <xdr:col>15</xdr:col>
      <xdr:colOff>190500</xdr:colOff>
      <xdr:row>23</xdr:row>
      <xdr:rowOff>88900</xdr:rowOff>
    </xdr:to>
    <xdr:graphicFrame macro="">
      <xdr:nvGraphicFramePr>
        <xdr:cNvPr id="3" name="ch_cr">
          <a:extLst>
            <a:ext uri="{FF2B5EF4-FFF2-40B4-BE49-F238E27FC236}">
              <a16:creationId xmlns:a16="http://schemas.microsoft.com/office/drawing/2014/main" id="{6A099940-BC5E-5035-402B-E95ECB616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444500</xdr:colOff>
      <xdr:row>5</xdr:row>
      <xdr:rowOff>190500</xdr:rowOff>
    </xdr:from>
    <xdr:to>
      <xdr:col>24</xdr:col>
      <xdr:colOff>254000</xdr:colOff>
      <xdr:row>23</xdr:row>
      <xdr:rowOff>88900</xdr:rowOff>
    </xdr:to>
    <xdr:graphicFrame macro="">
      <xdr:nvGraphicFramePr>
        <xdr:cNvPr id="4" name="ch_sales">
          <a:extLst>
            <a:ext uri="{FF2B5EF4-FFF2-40B4-BE49-F238E27FC236}">
              <a16:creationId xmlns:a16="http://schemas.microsoft.com/office/drawing/2014/main" id="{3AE5707F-6AF8-B979-68A5-309241D8B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25</xdr:row>
      <xdr:rowOff>63500</xdr:rowOff>
    </xdr:from>
    <xdr:to>
      <xdr:col>6</xdr:col>
      <xdr:colOff>127000</xdr:colOff>
      <xdr:row>42</xdr:row>
      <xdr:rowOff>165100</xdr:rowOff>
    </xdr:to>
    <xdr:graphicFrame macro="">
      <xdr:nvGraphicFramePr>
        <xdr:cNvPr id="5" name="ch_nrw">
          <a:extLst>
            <a:ext uri="{FF2B5EF4-FFF2-40B4-BE49-F238E27FC236}">
              <a16:creationId xmlns:a16="http://schemas.microsoft.com/office/drawing/2014/main" id="{F1619C73-6141-5984-2F0C-BB830CFFB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381000</xdr:colOff>
      <xdr:row>25</xdr:row>
      <xdr:rowOff>63500</xdr:rowOff>
    </xdr:from>
    <xdr:to>
      <xdr:col>15</xdr:col>
      <xdr:colOff>190500</xdr:colOff>
      <xdr:row>42</xdr:row>
      <xdr:rowOff>165100</xdr:rowOff>
    </xdr:to>
    <xdr:graphicFrame macro="">
      <xdr:nvGraphicFramePr>
        <xdr:cNvPr id="6" name="ch_arrears">
          <a:extLst>
            <a:ext uri="{FF2B5EF4-FFF2-40B4-BE49-F238E27FC236}">
              <a16:creationId xmlns:a16="http://schemas.microsoft.com/office/drawing/2014/main" id="{FFD23ED1-FFF2-E190-B004-1C3210915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444500</xdr:colOff>
      <xdr:row>25</xdr:row>
      <xdr:rowOff>63500</xdr:rowOff>
    </xdr:from>
    <xdr:to>
      <xdr:col>24</xdr:col>
      <xdr:colOff>254000</xdr:colOff>
      <xdr:row>42</xdr:row>
      <xdr:rowOff>165100</xdr:rowOff>
    </xdr:to>
    <xdr:graphicFrame macro="">
      <xdr:nvGraphicFramePr>
        <xdr:cNvPr id="7" name="ch_customers">
          <a:extLst>
            <a:ext uri="{FF2B5EF4-FFF2-40B4-BE49-F238E27FC236}">
              <a16:creationId xmlns:a16="http://schemas.microsoft.com/office/drawing/2014/main" id="{3F35668E-F3F1-09A0-7E8C-171EE1DD6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127000</xdr:colOff>
      <xdr:row>44</xdr:row>
      <xdr:rowOff>12700</xdr:rowOff>
    </xdr:from>
    <xdr:to>
      <xdr:col>6</xdr:col>
      <xdr:colOff>127000</xdr:colOff>
      <xdr:row>61</xdr:row>
      <xdr:rowOff>114300</xdr:rowOff>
    </xdr:to>
    <xdr:graphicFrame macro="">
      <xdr:nvGraphicFramePr>
        <xdr:cNvPr id="8" name="ch_age">
          <a:extLst>
            <a:ext uri="{FF2B5EF4-FFF2-40B4-BE49-F238E27FC236}">
              <a16:creationId xmlns:a16="http://schemas.microsoft.com/office/drawing/2014/main" id="{733A2E81-8464-E764-6D17-32DFED8AB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368300</xdr:colOff>
      <xdr:row>43</xdr:row>
      <xdr:rowOff>177800</xdr:rowOff>
    </xdr:from>
    <xdr:to>
      <xdr:col>15</xdr:col>
      <xdr:colOff>177800</xdr:colOff>
      <xdr:row>61</xdr:row>
      <xdr:rowOff>76200</xdr:rowOff>
    </xdr:to>
    <xdr:graphicFrame macro="">
      <xdr:nvGraphicFramePr>
        <xdr:cNvPr id="9" name="ch_ageeff">
          <a:extLst>
            <a:ext uri="{FF2B5EF4-FFF2-40B4-BE49-F238E27FC236}">
              <a16:creationId xmlns:a16="http://schemas.microsoft.com/office/drawing/2014/main" id="{D90FF1B3-763F-67B5-FA7C-68EEB7F03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 Dee" refreshedDate="46150.62954652778" createdVersion="8" refreshedVersion="8" minRefreshableVersion="3" recordCount="5" xr:uid="{1FC91289-64FE-8142-B248-6374DD8FB3B5}">
  <cacheSource type="worksheet">
    <worksheetSource ref="A4:AE9" sheet="Billing &amp; Collection"/>
  </cacheSource>
  <cacheFields count="31">
    <cacheField name="Field1" caption="Field1" numFmtId="0">
      <sharedItems count="5">
        <s v="ACCRA NORTHEAST"/>
        <s v="ADENTA"/>
        <s v="DODOWA"/>
        <s v="AGBOGBA"/>
        <s v="TOTAL"/>
      </sharedItems>
    </cacheField>
    <cacheField name="Jan-2024" numFmtId="165">
      <sharedItems containsSemiMixedTypes="0" containsString="0" containsNumber="1" containsInteger="1" minValue="132357" maxValue="1104830"/>
    </cacheField>
    <cacheField name="Feb-2024" numFmtId="165">
      <sharedItems containsSemiMixedTypes="0" containsString="0" containsNumber="1" containsInteger="1" minValue="138760" maxValue="1006144"/>
    </cacheField>
    <cacheField name="Mar-2024" numFmtId="165">
      <sharedItems containsSemiMixedTypes="0" containsString="0" containsNumber="1" containsInteger="1" minValue="136080" maxValue="977105"/>
    </cacheField>
    <cacheField name="Apr-2024" numFmtId="165">
      <sharedItems containsSemiMixedTypes="0" containsString="0" containsNumber="1" containsInteger="1" minValue="142684" maxValue="1039515"/>
    </cacheField>
    <cacheField name="May-2024" numFmtId="165">
      <sharedItems containsSemiMixedTypes="0" containsString="0" containsNumber="1" containsInteger="1" minValue="140465" maxValue="1018394"/>
    </cacheField>
    <cacheField name="Jun-2024" numFmtId="165">
      <sharedItems containsSemiMixedTypes="0" containsString="0" containsNumber="1" containsInteger="1" minValue="130980" maxValue="992287"/>
    </cacheField>
    <cacheField name="Jul-2024" numFmtId="165">
      <sharedItems containsSemiMixedTypes="0" containsString="0" containsNumber="1" containsInteger="1" minValue="121991" maxValue="939790"/>
    </cacheField>
    <cacheField name="Aug-2024" numFmtId="165">
      <sharedItems containsSemiMixedTypes="0" containsString="0" containsNumber="1" containsInteger="1" minValue="124574" maxValue="1002453"/>
    </cacheField>
    <cacheField name="Sep-2024" numFmtId="165">
      <sharedItems containsSemiMixedTypes="0" containsString="0" containsNumber="1" containsInteger="1" minValue="137112" maxValue="954640"/>
    </cacheField>
    <cacheField name="Oct-2024" numFmtId="165">
      <sharedItems containsSemiMixedTypes="0" containsString="0" containsNumber="1" containsInteger="1" minValue="135270" maxValue="991191"/>
    </cacheField>
    <cacheField name="Nov-2024" numFmtId="165">
      <sharedItems containsSemiMixedTypes="0" containsString="0" containsNumber="1" containsInteger="1" minValue="149186" maxValue="1043901"/>
    </cacheField>
    <cacheField name="Dec-2024" numFmtId="165">
      <sharedItems containsSemiMixedTypes="0" containsString="0" containsNumber="1" containsInteger="1" minValue="133357" maxValue="947894"/>
    </cacheField>
    <cacheField name="2024 Total" numFmtId="165">
      <sharedItems containsSemiMixedTypes="0" containsString="0" containsNumber="1" containsInteger="1" minValue="1622816" maxValue="12018144"/>
    </cacheField>
    <cacheField name="Jan-2025" numFmtId="165">
      <sharedItems containsSemiMixedTypes="0" containsString="0" containsNumber="1" containsInteger="1" minValue="169549" maxValue="1164750"/>
    </cacheField>
    <cacheField name="Feb-2025" numFmtId="165">
      <sharedItems containsSemiMixedTypes="0" containsString="0" containsNumber="1" containsInteger="1" minValue="151520" maxValue="1031444"/>
    </cacheField>
    <cacheField name="Mar-2025" numFmtId="165">
      <sharedItems containsSemiMixedTypes="0" containsString="0" containsNumber="1" containsInteger="1" minValue="157163" maxValue="1058769"/>
    </cacheField>
    <cacheField name="Apr-2025" numFmtId="165">
      <sharedItems containsSemiMixedTypes="0" containsString="0" containsNumber="1" containsInteger="1" minValue="148910" maxValue="1001637"/>
    </cacheField>
    <cacheField name="May-2025" numFmtId="165">
      <sharedItems containsSemiMixedTypes="0" containsString="0" containsNumber="1" containsInteger="1" minValue="161638" maxValue="1047666"/>
    </cacheField>
    <cacheField name="Jun-2025" numFmtId="165">
      <sharedItems containsSemiMixedTypes="0" containsString="0" containsNumber="1" containsInteger="1" minValue="152229" maxValue="1041625"/>
    </cacheField>
    <cacheField name="Jul-2025" numFmtId="165">
      <sharedItems containsSemiMixedTypes="0" containsString="0" containsNumber="1" containsInteger="1" minValue="106188" maxValue="824298"/>
    </cacheField>
    <cacheField name="Aug-2025" numFmtId="165">
      <sharedItems containsSemiMixedTypes="0" containsString="0" containsNumber="1" containsInteger="1" minValue="140013" maxValue="1006366"/>
    </cacheField>
    <cacheField name="Sep-2025" numFmtId="165">
      <sharedItems containsSemiMixedTypes="0" containsString="0" containsNumber="1" minValue="140647" maxValue="1016674.87"/>
    </cacheField>
    <cacheField name="Oct-2025" numFmtId="165">
      <sharedItems containsSemiMixedTypes="0" containsString="0" containsNumber="1" containsInteger="1" minValue="164273" maxValue="1087601"/>
    </cacheField>
    <cacheField name="Nov-2025" numFmtId="165">
      <sharedItems containsSemiMixedTypes="0" containsString="0" containsNumber="1" containsInteger="1" minValue="159223" maxValue="1092007"/>
    </cacheField>
    <cacheField name="Dec-2025" numFmtId="165">
      <sharedItems containsSemiMixedTypes="0" containsString="0" containsNumber="1" containsInteger="1" minValue="152725" maxValue="1021696"/>
    </cacheField>
    <cacheField name="2025 Total" numFmtId="165">
      <sharedItems containsSemiMixedTypes="0" containsString="0" containsNumber="1" minValue="1804078" maxValue="12394533.869999999"/>
    </cacheField>
    <cacheField name="Jan-2026" numFmtId="165">
      <sharedItems containsSemiMixedTypes="0" containsString="0" containsNumber="1" containsInteger="1" minValue="179351" maxValue="1212782"/>
    </cacheField>
    <cacheField name="Feb-2026" numFmtId="165">
      <sharedItems containsSemiMixedTypes="0" containsString="0" containsNumber="1" containsInteger="1" minValue="161662" maxValue="1069478"/>
    </cacheField>
    <cacheField name="Mar-2026" numFmtId="165">
      <sharedItems containsSemiMixedTypes="0" containsString="0" containsNumber="1" containsInteger="1" minValue="151594" maxValue="1054193"/>
    </cacheField>
    <cacheField name="2026 Q1 Total" numFmtId="165">
      <sharedItems containsSemiMixedTypes="0" containsString="0" containsNumber="1" containsInteger="1" minValue="492607" maxValue="33364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12173"/>
    <n v="398334"/>
    <n v="381159"/>
    <n v="415800"/>
    <n v="367747"/>
    <n v="382986"/>
    <n v="374590"/>
    <n v="392853"/>
    <n v="368950"/>
    <n v="401314"/>
    <n v="388369"/>
    <n v="376002"/>
    <n v="4660277"/>
    <n v="425186"/>
    <n v="379817"/>
    <n v="409323"/>
    <n v="381930"/>
    <n v="385465"/>
    <n v="397448"/>
    <n v="326771"/>
    <n v="357605"/>
    <n v="397302.87"/>
    <n v="396867"/>
    <n v="417772"/>
    <n v="388056"/>
    <n v="4663542.87"/>
    <n v="425326"/>
    <n v="392393"/>
    <n v="389624"/>
    <n v="1207343"/>
  </r>
  <r>
    <x v="1"/>
    <n v="352291"/>
    <n v="270020"/>
    <n v="280064"/>
    <n v="282893"/>
    <n v="255040"/>
    <n v="272062"/>
    <n v="246715"/>
    <n v="277318"/>
    <n v="256719"/>
    <n v="257341"/>
    <n v="299957"/>
    <n v="249730"/>
    <n v="3300150"/>
    <n v="337351"/>
    <n v="292503"/>
    <n v="289603"/>
    <n v="272703"/>
    <n v="298376"/>
    <n v="279813"/>
    <n v="221569"/>
    <n v="300432"/>
    <n v="275556"/>
    <n v="321512"/>
    <n v="305633"/>
    <n v="283807"/>
    <n v="3478858"/>
    <n v="385085"/>
    <n v="309683"/>
    <n v="307220"/>
    <n v="1001988"/>
  </r>
  <r>
    <x v="2"/>
    <n v="132357"/>
    <n v="138760"/>
    <n v="136080"/>
    <n v="142684"/>
    <n v="140465"/>
    <n v="130980"/>
    <n v="121991"/>
    <n v="124574"/>
    <n v="137112"/>
    <n v="135270"/>
    <n v="149186"/>
    <n v="133357"/>
    <n v="1622816"/>
    <n v="169549"/>
    <n v="151520"/>
    <n v="157163"/>
    <n v="148910"/>
    <n v="161638"/>
    <n v="152229"/>
    <n v="106188"/>
    <n v="140013"/>
    <n v="140647"/>
    <n v="164273"/>
    <n v="159223"/>
    <n v="152725"/>
    <n v="1804078"/>
    <n v="179351"/>
    <n v="161662"/>
    <n v="151594"/>
    <n v="492607"/>
  </r>
  <r>
    <x v="3"/>
    <n v="208009"/>
    <n v="199030"/>
    <n v="179802"/>
    <n v="198138"/>
    <n v="255142"/>
    <n v="206259"/>
    <n v="196494"/>
    <n v="207708"/>
    <n v="191859"/>
    <n v="197266"/>
    <n v="206389"/>
    <n v="188805"/>
    <n v="2434901"/>
    <n v="232664"/>
    <n v="207604"/>
    <n v="202680"/>
    <n v="198094"/>
    <n v="202187"/>
    <n v="212135"/>
    <n v="169770"/>
    <n v="208316"/>
    <n v="203169"/>
    <n v="204949"/>
    <n v="209379"/>
    <n v="197108"/>
    <n v="2448055"/>
    <n v="223020"/>
    <n v="205740"/>
    <n v="205755"/>
    <n v="634515"/>
  </r>
  <r>
    <x v="4"/>
    <n v="1104830"/>
    <n v="1006144"/>
    <n v="977105"/>
    <n v="1039515"/>
    <n v="1018394"/>
    <n v="992287"/>
    <n v="939790"/>
    <n v="1002453"/>
    <n v="954640"/>
    <n v="991191"/>
    <n v="1043901"/>
    <n v="947894"/>
    <n v="12018144"/>
    <n v="1164750"/>
    <n v="1031444"/>
    <n v="1058769"/>
    <n v="1001637"/>
    <n v="1047666"/>
    <n v="1041625"/>
    <n v="824298"/>
    <n v="1006366"/>
    <n v="1016674.87"/>
    <n v="1087601"/>
    <n v="1092007"/>
    <n v="1021696"/>
    <n v="12394533.869999999"/>
    <n v="1212782"/>
    <n v="1069478"/>
    <n v="1054193"/>
    <n v="33364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2369D-8404-C047-9F11-6984544CD66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G30:AR31" firstHeaderRow="0" firstDataRow="1" firstDataCol="0"/>
  <pivotFields count="31">
    <pivotField showAll="0">
      <items count="6">
        <item x="0"/>
        <item x="1"/>
        <item x="3"/>
        <item x="2"/>
        <item x="4"/>
        <item t="default"/>
      </items>
    </pivotField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</pivotFields>
  <rowItems count="1">
    <i/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Dec-2024" fld="12" baseField="0" baseItem="0" numFmtId="165"/>
    <dataField name="Sum of Nov-2024" fld="11" baseField="0" baseItem="0" numFmtId="165"/>
    <dataField name="Sum of Oct-2024" fld="10" baseField="0" baseItem="0" numFmtId="165"/>
    <dataField name="Sum of Sep-2024" fld="9" baseField="0" baseItem="0" numFmtId="165"/>
    <dataField name="Sum of Aug-2024" fld="8" baseField="0" baseItem="0" numFmtId="165"/>
    <dataField name="Sum of Jul-2024" fld="7" baseField="0" baseItem="0" numFmtId="165"/>
    <dataField name="Sum of Jun-2024" fld="6" baseField="0" baseItem="0" numFmtId="165"/>
    <dataField name="Sum of May-2024" fld="5" baseField="0" baseItem="0" numFmtId="165"/>
    <dataField name="Sum of Apr-2024" fld="4" baseField="0" baseItem="0" numFmtId="165"/>
    <dataField name="Sum of Feb-2024" fld="2" baseField="0" baseItem="0" numFmtId="165"/>
    <dataField name="Sum of Jan-2024" fld="1" baseField="0" baseItem="0" numFmtId="165"/>
    <dataField name="Sum of Mar-2024" fld="3" baseField="0" baseItem="0" numFmtId="165"/>
  </dataFields>
  <chartFormats count="24">
    <chartFormat chart="1" format="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3CE0C7-E513-A449-88FD-75A7EDC8262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8ef8a5e-75a4-4520-8b08-77de96fe5bd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66CB-7B04-C641-94C5-6FB1470FBED9}">
  <sheetPr>
    <tabColor rgb="FF1F4E78"/>
  </sheetPr>
  <dimension ref="A1:AW120"/>
  <sheetViews>
    <sheetView showGridLines="0" tabSelected="1" topLeftCell="A3" workbookViewId="0">
      <selection activeCell="D4" sqref="D4"/>
    </sheetView>
  </sheetViews>
  <sheetFormatPr baseColWidth="10" defaultRowHeight="16" outlineLevelRow="1" x14ac:dyDescent="0.25"/>
  <cols>
    <col min="1" max="4" width="26" customWidth="1"/>
  </cols>
  <sheetData>
    <row r="1" spans="1:24" ht="25" x14ac:dyDescent="0.35">
      <c r="A1" s="111" t="s">
        <v>49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</row>
    <row r="2" spans="1:24" x14ac:dyDescent="0.25">
      <c r="A2" s="110" t="s">
        <v>37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24" ht="17" thickBot="1" x14ac:dyDescent="0.3"/>
    <row r="4" spans="1:24" ht="21" thickBot="1" x14ac:dyDescent="0.35">
      <c r="A4" s="95" t="s">
        <v>38</v>
      </c>
      <c r="B4" s="96" t="s">
        <v>1</v>
      </c>
      <c r="C4" s="95" t="s">
        <v>47</v>
      </c>
      <c r="D4" s="103" t="s">
        <v>72</v>
      </c>
    </row>
    <row r="82" spans="1:49" outlineLevel="1" x14ac:dyDescent="0.25">
      <c r="A82" s="97" t="s">
        <v>39</v>
      </c>
    </row>
    <row r="83" spans="1:49" outlineLevel="1" x14ac:dyDescent="0.25">
      <c r="A83" s="98" t="s">
        <v>40</v>
      </c>
      <c r="B83" s="118">
        <f>DATE(2024,1,1)</f>
        <v>45292</v>
      </c>
      <c r="C83" s="118">
        <f>EDATE(B83,1)</f>
        <v>45323</v>
      </c>
      <c r="D83" s="118">
        <f t="shared" ref="D83:AW83" si="0">EDATE(C83,1)</f>
        <v>45352</v>
      </c>
      <c r="E83" s="118">
        <f t="shared" si="0"/>
        <v>45383</v>
      </c>
      <c r="F83" s="118">
        <f t="shared" si="0"/>
        <v>45413</v>
      </c>
      <c r="G83" s="118">
        <f t="shared" si="0"/>
        <v>45444</v>
      </c>
      <c r="H83" s="118">
        <f t="shared" si="0"/>
        <v>45474</v>
      </c>
      <c r="I83" s="118">
        <f t="shared" si="0"/>
        <v>45505</v>
      </c>
      <c r="J83" s="118">
        <f t="shared" si="0"/>
        <v>45536</v>
      </c>
      <c r="K83" s="118">
        <f t="shared" si="0"/>
        <v>45566</v>
      </c>
      <c r="L83" s="118">
        <f t="shared" si="0"/>
        <v>45597</v>
      </c>
      <c r="M83" s="118">
        <f t="shared" si="0"/>
        <v>45627</v>
      </c>
      <c r="N83" s="118">
        <f t="shared" si="0"/>
        <v>45658</v>
      </c>
      <c r="O83" s="118">
        <f t="shared" si="0"/>
        <v>45689</v>
      </c>
      <c r="P83" s="118">
        <f t="shared" si="0"/>
        <v>45717</v>
      </c>
      <c r="Q83" s="118">
        <f t="shared" si="0"/>
        <v>45748</v>
      </c>
      <c r="R83" s="118">
        <f t="shared" si="0"/>
        <v>45778</v>
      </c>
      <c r="S83" s="118">
        <f t="shared" si="0"/>
        <v>45809</v>
      </c>
      <c r="T83" s="118">
        <f t="shared" si="0"/>
        <v>45839</v>
      </c>
      <c r="U83" s="118">
        <f t="shared" si="0"/>
        <v>45870</v>
      </c>
      <c r="V83" s="118">
        <f t="shared" si="0"/>
        <v>45901</v>
      </c>
      <c r="W83" s="118">
        <f t="shared" si="0"/>
        <v>45931</v>
      </c>
      <c r="X83" s="118">
        <f t="shared" si="0"/>
        <v>45962</v>
      </c>
      <c r="Y83" s="118">
        <f t="shared" si="0"/>
        <v>45992</v>
      </c>
      <c r="Z83" s="118">
        <f t="shared" si="0"/>
        <v>46023</v>
      </c>
      <c r="AA83" s="118">
        <f t="shared" si="0"/>
        <v>46054</v>
      </c>
      <c r="AB83" s="118">
        <f t="shared" si="0"/>
        <v>46082</v>
      </c>
      <c r="AC83" s="118">
        <f t="shared" si="0"/>
        <v>46113</v>
      </c>
      <c r="AD83" s="118">
        <f t="shared" si="0"/>
        <v>46143</v>
      </c>
      <c r="AE83" s="118">
        <f t="shared" si="0"/>
        <v>46174</v>
      </c>
      <c r="AF83" s="118">
        <f t="shared" si="0"/>
        <v>46204</v>
      </c>
      <c r="AG83" s="118">
        <f t="shared" si="0"/>
        <v>46235</v>
      </c>
      <c r="AH83" s="118">
        <f t="shared" si="0"/>
        <v>46266</v>
      </c>
      <c r="AI83" s="118">
        <f t="shared" si="0"/>
        <v>46296</v>
      </c>
      <c r="AJ83" s="118">
        <f t="shared" si="0"/>
        <v>46327</v>
      </c>
      <c r="AK83" s="118">
        <f t="shared" si="0"/>
        <v>46357</v>
      </c>
      <c r="AL83" s="118">
        <f t="shared" si="0"/>
        <v>46388</v>
      </c>
      <c r="AM83" s="118">
        <f t="shared" si="0"/>
        <v>46419</v>
      </c>
      <c r="AN83" s="118">
        <f t="shared" si="0"/>
        <v>46447</v>
      </c>
      <c r="AO83" s="118">
        <f t="shared" si="0"/>
        <v>46478</v>
      </c>
      <c r="AP83" s="118">
        <f t="shared" si="0"/>
        <v>46508</v>
      </c>
      <c r="AQ83" s="118">
        <f t="shared" si="0"/>
        <v>46539</v>
      </c>
      <c r="AR83" s="118">
        <f t="shared" si="0"/>
        <v>46569</v>
      </c>
      <c r="AS83" s="118">
        <f t="shared" si="0"/>
        <v>46600</v>
      </c>
      <c r="AT83" s="118">
        <f t="shared" si="0"/>
        <v>46631</v>
      </c>
      <c r="AU83" s="118">
        <f t="shared" si="0"/>
        <v>46661</v>
      </c>
      <c r="AV83" s="118">
        <f t="shared" si="0"/>
        <v>46692</v>
      </c>
      <c r="AW83" s="118">
        <f t="shared" si="0"/>
        <v>46722</v>
      </c>
    </row>
    <row r="84" spans="1:49" outlineLevel="1" x14ac:dyDescent="0.25">
      <c r="A84" s="98" t="s">
        <v>41</v>
      </c>
      <c r="B84" s="100">
        <f>IFERROR(IF($B$4="ALL",INDEX('Billing &amp; Collection'!$9:$9,MATCH(B$83,'Billing &amp; Collection'!$4:$4,0)),INDEX('Billing &amp; Collection'!$5:$8,MATCH($B$4,'Billing &amp; Collection'!$A$5:$A$8,0),MATCH(B$83,'Billing &amp; Collection'!$4:$4,0))),NA())</f>
        <v>412173</v>
      </c>
      <c r="C84" s="100">
        <f>IFERROR(IF($B$4="ALL",INDEX('Billing &amp; Collection'!$9:$9,MATCH(C$83,'Billing &amp; Collection'!$4:$4,0)),INDEX('Billing &amp; Collection'!$5:$8,MATCH($B$4,'Billing &amp; Collection'!$A$5:$A$8,0),MATCH(C$83,'Billing &amp; Collection'!$4:$4,0))),NA())</f>
        <v>398334</v>
      </c>
      <c r="D84" s="100">
        <f>IFERROR(IF($B$4="ALL",INDEX('Billing &amp; Collection'!$9:$9,MATCH(D$83,'Billing &amp; Collection'!$4:$4,0)),INDEX('Billing &amp; Collection'!$5:$8,MATCH($B$4,'Billing &amp; Collection'!$A$5:$A$8,0),MATCH(D$83,'Billing &amp; Collection'!$4:$4,0))),NA())</f>
        <v>381159</v>
      </c>
      <c r="E84" s="100">
        <f>IFERROR(IF($B$4="ALL",INDEX('Billing &amp; Collection'!$9:$9,MATCH(E$83,'Billing &amp; Collection'!$4:$4,0)),INDEX('Billing &amp; Collection'!$5:$8,MATCH($B$4,'Billing &amp; Collection'!$A$5:$A$8,0),MATCH(E$83,'Billing &amp; Collection'!$4:$4,0))),NA())</f>
        <v>415800</v>
      </c>
      <c r="F84" s="100">
        <f>IFERROR(IF($B$4="ALL",INDEX('Billing &amp; Collection'!$9:$9,MATCH(F$83,'Billing &amp; Collection'!$4:$4,0)),INDEX('Billing &amp; Collection'!$5:$8,MATCH($B$4,'Billing &amp; Collection'!$A$5:$A$8,0),MATCH(F$83,'Billing &amp; Collection'!$4:$4,0))),NA())</f>
        <v>367747</v>
      </c>
      <c r="G84" s="100">
        <f>IFERROR(IF($B$4="ALL",INDEX('Billing &amp; Collection'!$9:$9,MATCH(G$83,'Billing &amp; Collection'!$4:$4,0)),INDEX('Billing &amp; Collection'!$5:$8,MATCH($B$4,'Billing &amp; Collection'!$A$5:$A$8,0),MATCH(G$83,'Billing &amp; Collection'!$4:$4,0))),NA())</f>
        <v>382986</v>
      </c>
      <c r="H84" s="100">
        <f>IFERROR(IF($B$4="ALL",INDEX('Billing &amp; Collection'!$9:$9,MATCH(H$83,'Billing &amp; Collection'!$4:$4,0)),INDEX('Billing &amp; Collection'!$5:$8,MATCH($B$4,'Billing &amp; Collection'!$A$5:$A$8,0),MATCH(H$83,'Billing &amp; Collection'!$4:$4,0))),NA())</f>
        <v>374590</v>
      </c>
      <c r="I84" s="100">
        <f>IFERROR(IF($B$4="ALL",INDEX('Billing &amp; Collection'!$9:$9,MATCH(I$83,'Billing &amp; Collection'!$4:$4,0)),INDEX('Billing &amp; Collection'!$5:$8,MATCH($B$4,'Billing &amp; Collection'!$A$5:$A$8,0),MATCH(I$83,'Billing &amp; Collection'!$4:$4,0))),NA())</f>
        <v>392853</v>
      </c>
      <c r="J84" s="100">
        <f>IFERROR(IF($B$4="ALL",INDEX('Billing &amp; Collection'!$9:$9,MATCH(J$83,'Billing &amp; Collection'!$4:$4,0)),INDEX('Billing &amp; Collection'!$5:$8,MATCH($B$4,'Billing &amp; Collection'!$A$5:$A$8,0),MATCH(J$83,'Billing &amp; Collection'!$4:$4,0))),NA())</f>
        <v>368950</v>
      </c>
      <c r="K84" s="100">
        <f>IFERROR(IF($B$4="ALL",INDEX('Billing &amp; Collection'!$9:$9,MATCH(K$83,'Billing &amp; Collection'!$4:$4,0)),INDEX('Billing &amp; Collection'!$5:$8,MATCH($B$4,'Billing &amp; Collection'!$A$5:$A$8,0),MATCH(K$83,'Billing &amp; Collection'!$4:$4,0))),NA())</f>
        <v>401314</v>
      </c>
      <c r="L84" s="100">
        <f>IFERROR(IF($B$4="ALL",INDEX('Billing &amp; Collection'!$9:$9,MATCH(L$83,'Billing &amp; Collection'!$4:$4,0)),INDEX('Billing &amp; Collection'!$5:$8,MATCH($B$4,'Billing &amp; Collection'!$A$5:$A$8,0),MATCH(L$83,'Billing &amp; Collection'!$4:$4,0))),NA())</f>
        <v>388369</v>
      </c>
      <c r="M84" s="100">
        <f>IFERROR(IF($B$4="ALL",INDEX('Billing &amp; Collection'!$9:$9,MATCH(M$83,'Billing &amp; Collection'!$4:$4,0)),INDEX('Billing &amp; Collection'!$5:$8,MATCH($B$4,'Billing &amp; Collection'!$A$5:$A$8,0),MATCH(M$83,'Billing &amp; Collection'!$4:$4,0))),NA())</f>
        <v>376002</v>
      </c>
      <c r="N84" s="100">
        <f>IFERROR(IF($B$4="ALL",INDEX('Billing &amp; Collection'!$9:$9,MATCH(N$83,'Billing &amp; Collection'!$4:$4,0)),INDEX('Billing &amp; Collection'!$5:$8,MATCH($B$4,'Billing &amp; Collection'!$A$5:$A$8,0),MATCH(N$83,'Billing &amp; Collection'!$4:$4,0))),NA())</f>
        <v>425186</v>
      </c>
      <c r="O84" s="100">
        <f>IFERROR(IF($B$4="ALL",INDEX('Billing &amp; Collection'!$9:$9,MATCH(O$83,'Billing &amp; Collection'!$4:$4,0)),INDEX('Billing &amp; Collection'!$5:$8,MATCH($B$4,'Billing &amp; Collection'!$A$5:$A$8,0),MATCH(O$83,'Billing &amp; Collection'!$4:$4,0))),NA())</f>
        <v>379817</v>
      </c>
      <c r="P84" s="100">
        <f>IFERROR(IF($B$4="ALL",INDEX('Billing &amp; Collection'!$9:$9,MATCH(P$83,'Billing &amp; Collection'!$4:$4,0)),INDEX('Billing &amp; Collection'!$5:$8,MATCH($B$4,'Billing &amp; Collection'!$A$5:$A$8,0),MATCH(P$83,'Billing &amp; Collection'!$4:$4,0))),NA())</f>
        <v>409323</v>
      </c>
      <c r="Q84" s="100">
        <f>IFERROR(IF($B$4="ALL",INDEX('Billing &amp; Collection'!$9:$9,MATCH(Q$83,'Billing &amp; Collection'!$4:$4,0)),INDEX('Billing &amp; Collection'!$5:$8,MATCH($B$4,'Billing &amp; Collection'!$A$5:$A$8,0),MATCH(Q$83,'Billing &amp; Collection'!$4:$4,0))),NA())</f>
        <v>381930</v>
      </c>
      <c r="R84" s="100">
        <f>IFERROR(IF($B$4="ALL",INDEX('Billing &amp; Collection'!$9:$9,MATCH(R$83,'Billing &amp; Collection'!$4:$4,0)),INDEX('Billing &amp; Collection'!$5:$8,MATCH($B$4,'Billing &amp; Collection'!$A$5:$A$8,0),MATCH(R$83,'Billing &amp; Collection'!$4:$4,0))),NA())</f>
        <v>385465</v>
      </c>
      <c r="S84" s="100">
        <f>IFERROR(IF($B$4="ALL",INDEX('Billing &amp; Collection'!$9:$9,MATCH(S$83,'Billing &amp; Collection'!$4:$4,0)),INDEX('Billing &amp; Collection'!$5:$8,MATCH($B$4,'Billing &amp; Collection'!$A$5:$A$8,0),MATCH(S$83,'Billing &amp; Collection'!$4:$4,0))),NA())</f>
        <v>397448</v>
      </c>
      <c r="T84" s="100">
        <f>IFERROR(IF($B$4="ALL",INDEX('Billing &amp; Collection'!$9:$9,MATCH(T$83,'Billing &amp; Collection'!$4:$4,0)),INDEX('Billing &amp; Collection'!$5:$8,MATCH($B$4,'Billing &amp; Collection'!$A$5:$A$8,0),MATCH(T$83,'Billing &amp; Collection'!$4:$4,0))),NA())</f>
        <v>326771</v>
      </c>
      <c r="U84" s="100">
        <f>IFERROR(IF($B$4="ALL",INDEX('Billing &amp; Collection'!$9:$9,MATCH(U$83,'Billing &amp; Collection'!$4:$4,0)),INDEX('Billing &amp; Collection'!$5:$8,MATCH($B$4,'Billing &amp; Collection'!$A$5:$A$8,0),MATCH(U$83,'Billing &amp; Collection'!$4:$4,0))),NA())</f>
        <v>357605</v>
      </c>
      <c r="V84" s="100">
        <f>IFERROR(IF($B$4="ALL",INDEX('Billing &amp; Collection'!$9:$9,MATCH(V$83,'Billing &amp; Collection'!$4:$4,0)),INDEX('Billing &amp; Collection'!$5:$8,MATCH($B$4,'Billing &amp; Collection'!$A$5:$A$8,0),MATCH(V$83,'Billing &amp; Collection'!$4:$4,0))),NA())</f>
        <v>397302.87</v>
      </c>
      <c r="W84" s="100">
        <f>IFERROR(IF($B$4="ALL",INDEX('Billing &amp; Collection'!$9:$9,MATCH(W$83,'Billing &amp; Collection'!$4:$4,0)),INDEX('Billing &amp; Collection'!$5:$8,MATCH($B$4,'Billing &amp; Collection'!$A$5:$A$8,0),MATCH(W$83,'Billing &amp; Collection'!$4:$4,0))),NA())</f>
        <v>396867</v>
      </c>
      <c r="X84" s="100">
        <f>IFERROR(IF($B$4="ALL",INDEX('Billing &amp; Collection'!$9:$9,MATCH(X$83,'Billing &amp; Collection'!$4:$4,0)),INDEX('Billing &amp; Collection'!$5:$8,MATCH($B$4,'Billing &amp; Collection'!$A$5:$A$8,0),MATCH(X$83,'Billing &amp; Collection'!$4:$4,0))),NA())</f>
        <v>417772</v>
      </c>
      <c r="Y84" s="100">
        <f>IFERROR(IF($B$4="ALL",INDEX('Billing &amp; Collection'!$9:$9,MATCH(Y$83,'Billing &amp; Collection'!$4:$4,0)),INDEX('Billing &amp; Collection'!$5:$8,MATCH($B$4,'Billing &amp; Collection'!$A$5:$A$8,0),MATCH(Y$83,'Billing &amp; Collection'!$4:$4,0))),NA())</f>
        <v>388056</v>
      </c>
      <c r="Z84" s="100">
        <f>IFERROR(IF($B$4="ALL",INDEX('Billing &amp; Collection'!$9:$9,MATCH(Z$83,'Billing &amp; Collection'!$4:$4,0)),INDEX('Billing &amp; Collection'!$5:$8,MATCH($B$4,'Billing &amp; Collection'!$A$5:$A$8,0),MATCH(Z$83,'Billing &amp; Collection'!$4:$4,0))),NA())</f>
        <v>425326</v>
      </c>
      <c r="AA84" s="100">
        <f>IFERROR(IF($B$4="ALL",INDEX('Billing &amp; Collection'!$9:$9,MATCH(AA$83,'Billing &amp; Collection'!$4:$4,0)),INDEX('Billing &amp; Collection'!$5:$8,MATCH($B$4,'Billing &amp; Collection'!$A$5:$A$8,0),MATCH(AA$83,'Billing &amp; Collection'!$4:$4,0))),NA())</f>
        <v>392393</v>
      </c>
      <c r="AB84" s="100">
        <f>IFERROR(IF($B$4="ALL",INDEX('Billing &amp; Collection'!$9:$9,MATCH(AB$83,'Billing &amp; Collection'!$4:$4,0)),INDEX('Billing &amp; Collection'!$5:$8,MATCH($B$4,'Billing &amp; Collection'!$A$5:$A$8,0),MATCH(AB$83,'Billing &amp; Collection'!$4:$4,0))),NA())</f>
        <v>389624</v>
      </c>
      <c r="AC84" s="100" t="e">
        <f>IFERROR(IF($B$4="ALL",INDEX('Billing &amp; Collection'!$9:$9,MATCH(AC$83,'Billing &amp; Collection'!$4:$4,0)),INDEX('Billing &amp; Collection'!$5:$8,MATCH($B$4,'Billing &amp; Collection'!$A$5:$A$8,0),MATCH(AC$83,'Billing &amp; Collection'!$4:$4,0))),NA())</f>
        <v>#N/A</v>
      </c>
      <c r="AD84" s="100" t="e">
        <f>IFERROR(IF($B$4="ALL",INDEX('Billing &amp; Collection'!$9:$9,MATCH(AD$83,'Billing &amp; Collection'!$4:$4,0)),INDEX('Billing &amp; Collection'!$5:$8,MATCH($B$4,'Billing &amp; Collection'!$A$5:$A$8,0),MATCH(AD$83,'Billing &amp; Collection'!$4:$4,0))),NA())</f>
        <v>#N/A</v>
      </c>
      <c r="AE84" s="100" t="e">
        <f>IFERROR(IF($B$4="ALL",INDEX('Billing &amp; Collection'!$9:$9,MATCH(AE$83,'Billing &amp; Collection'!$4:$4,0)),INDEX('Billing &amp; Collection'!$5:$8,MATCH($B$4,'Billing &amp; Collection'!$A$5:$A$8,0),MATCH(AE$83,'Billing &amp; Collection'!$4:$4,0))),NA())</f>
        <v>#N/A</v>
      </c>
      <c r="AF84" s="100" t="e">
        <f>IFERROR(IF($B$4="ALL",INDEX('Billing &amp; Collection'!$9:$9,MATCH(AF$83,'Billing &amp; Collection'!$4:$4,0)),INDEX('Billing &amp; Collection'!$5:$8,MATCH($B$4,'Billing &amp; Collection'!$A$5:$A$8,0),MATCH(AF$83,'Billing &amp; Collection'!$4:$4,0))),NA())</f>
        <v>#N/A</v>
      </c>
      <c r="AG84" s="100" t="e">
        <f>IFERROR(IF($B$4="ALL",INDEX('Billing &amp; Collection'!$9:$9,MATCH(AG$83,'Billing &amp; Collection'!$4:$4,0)),INDEX('Billing &amp; Collection'!$5:$8,MATCH($B$4,'Billing &amp; Collection'!$A$5:$A$8,0),MATCH(AG$83,'Billing &amp; Collection'!$4:$4,0))),NA())</f>
        <v>#N/A</v>
      </c>
      <c r="AH84" s="100" t="e">
        <f>IFERROR(IF($B$4="ALL",INDEX('Billing &amp; Collection'!$9:$9,MATCH(AH$83,'Billing &amp; Collection'!$4:$4,0)),INDEX('Billing &amp; Collection'!$5:$8,MATCH($B$4,'Billing &amp; Collection'!$A$5:$A$8,0),MATCH(AH$83,'Billing &amp; Collection'!$4:$4,0))),NA())</f>
        <v>#N/A</v>
      </c>
      <c r="AI84" s="100" t="e">
        <f>IFERROR(IF($B$4="ALL",INDEX('Billing &amp; Collection'!$9:$9,MATCH(AI$83,'Billing &amp; Collection'!$4:$4,0)),INDEX('Billing &amp; Collection'!$5:$8,MATCH($B$4,'Billing &amp; Collection'!$A$5:$A$8,0),MATCH(AI$83,'Billing &amp; Collection'!$4:$4,0))),NA())</f>
        <v>#N/A</v>
      </c>
      <c r="AJ84" s="100" t="e">
        <f>IFERROR(IF($B$4="ALL",INDEX('Billing &amp; Collection'!$9:$9,MATCH(AJ$83,'Billing &amp; Collection'!$4:$4,0)),INDEX('Billing &amp; Collection'!$5:$8,MATCH($B$4,'Billing &amp; Collection'!$A$5:$A$8,0),MATCH(AJ$83,'Billing &amp; Collection'!$4:$4,0))),NA())</f>
        <v>#N/A</v>
      </c>
      <c r="AK84" s="100" t="e">
        <f>IFERROR(IF($B$4="ALL",INDEX('Billing &amp; Collection'!$9:$9,MATCH(AK$83,'Billing &amp; Collection'!$4:$4,0)),INDEX('Billing &amp; Collection'!$5:$8,MATCH($B$4,'Billing &amp; Collection'!$A$5:$A$8,0),MATCH(AK$83,'Billing &amp; Collection'!$4:$4,0))),NA())</f>
        <v>#N/A</v>
      </c>
      <c r="AL84" s="100" t="e">
        <f>IFERROR(IF($B$4="ALL",INDEX('Billing &amp; Collection'!$9:$9,MATCH(AL$83,'Billing &amp; Collection'!$4:$4,0)),INDEX('Billing &amp; Collection'!$5:$8,MATCH($B$4,'Billing &amp; Collection'!$A$5:$A$8,0),MATCH(AL$83,'Billing &amp; Collection'!$4:$4,0))),NA())</f>
        <v>#N/A</v>
      </c>
      <c r="AM84" s="100" t="e">
        <f>IFERROR(IF($B$4="ALL",INDEX('Billing &amp; Collection'!$9:$9,MATCH(AM$83,'Billing &amp; Collection'!$4:$4,0)),INDEX('Billing &amp; Collection'!$5:$8,MATCH($B$4,'Billing &amp; Collection'!$A$5:$A$8,0),MATCH(AM$83,'Billing &amp; Collection'!$4:$4,0))),NA())</f>
        <v>#N/A</v>
      </c>
      <c r="AN84" s="100" t="e">
        <f>IFERROR(IF($B$4="ALL",INDEX('Billing &amp; Collection'!$9:$9,MATCH(AN$83,'Billing &amp; Collection'!$4:$4,0)),INDEX('Billing &amp; Collection'!$5:$8,MATCH($B$4,'Billing &amp; Collection'!$A$5:$A$8,0),MATCH(AN$83,'Billing &amp; Collection'!$4:$4,0))),NA())</f>
        <v>#N/A</v>
      </c>
      <c r="AO84" s="100" t="e">
        <f>IFERROR(IF($B$4="ALL",INDEX('Billing &amp; Collection'!$9:$9,MATCH(AO$83,'Billing &amp; Collection'!$4:$4,0)),INDEX('Billing &amp; Collection'!$5:$8,MATCH($B$4,'Billing &amp; Collection'!$A$5:$A$8,0),MATCH(AO$83,'Billing &amp; Collection'!$4:$4,0))),NA())</f>
        <v>#N/A</v>
      </c>
      <c r="AP84" s="100" t="e">
        <f>IFERROR(IF($B$4="ALL",INDEX('Billing &amp; Collection'!$9:$9,MATCH(AP$83,'Billing &amp; Collection'!$4:$4,0)),INDEX('Billing &amp; Collection'!$5:$8,MATCH($B$4,'Billing &amp; Collection'!$A$5:$A$8,0),MATCH(AP$83,'Billing &amp; Collection'!$4:$4,0))),NA())</f>
        <v>#N/A</v>
      </c>
      <c r="AQ84" s="100" t="e">
        <f>IFERROR(IF($B$4="ALL",INDEX('Billing &amp; Collection'!$9:$9,MATCH(AQ$83,'Billing &amp; Collection'!$4:$4,0)),INDEX('Billing &amp; Collection'!$5:$8,MATCH($B$4,'Billing &amp; Collection'!$A$5:$A$8,0),MATCH(AQ$83,'Billing &amp; Collection'!$4:$4,0))),NA())</f>
        <v>#N/A</v>
      </c>
      <c r="AR84" s="100" t="e">
        <f>IFERROR(IF($B$4="ALL",INDEX('Billing &amp; Collection'!$9:$9,MATCH(AR$83,'Billing &amp; Collection'!$4:$4,0)),INDEX('Billing &amp; Collection'!$5:$8,MATCH($B$4,'Billing &amp; Collection'!$A$5:$A$8,0),MATCH(AR$83,'Billing &amp; Collection'!$4:$4,0))),NA())</f>
        <v>#N/A</v>
      </c>
      <c r="AS84" s="100" t="e">
        <f>IFERROR(IF($B$4="ALL",INDEX('Billing &amp; Collection'!$9:$9,MATCH(AS$83,'Billing &amp; Collection'!$4:$4,0)),INDEX('Billing &amp; Collection'!$5:$8,MATCH($B$4,'Billing &amp; Collection'!$A$5:$A$8,0),MATCH(AS$83,'Billing &amp; Collection'!$4:$4,0))),NA())</f>
        <v>#N/A</v>
      </c>
      <c r="AT84" s="100" t="e">
        <f>IFERROR(IF($B$4="ALL",INDEX('Billing &amp; Collection'!$9:$9,MATCH(AT$83,'Billing &amp; Collection'!$4:$4,0)),INDEX('Billing &amp; Collection'!$5:$8,MATCH($B$4,'Billing &amp; Collection'!$A$5:$A$8,0),MATCH(AT$83,'Billing &amp; Collection'!$4:$4,0))),NA())</f>
        <v>#N/A</v>
      </c>
      <c r="AU84" s="100" t="e">
        <f>IFERROR(IF($B$4="ALL",INDEX('Billing &amp; Collection'!$9:$9,MATCH(AU$83,'Billing &amp; Collection'!$4:$4,0)),INDEX('Billing &amp; Collection'!$5:$8,MATCH($B$4,'Billing &amp; Collection'!$A$5:$A$8,0),MATCH(AU$83,'Billing &amp; Collection'!$4:$4,0))),NA())</f>
        <v>#N/A</v>
      </c>
      <c r="AV84" s="100" t="e">
        <f>IFERROR(IF($B$4="ALL",INDEX('Billing &amp; Collection'!$9:$9,MATCH(AV$83,'Billing &amp; Collection'!$4:$4,0)),INDEX('Billing &amp; Collection'!$5:$8,MATCH($B$4,'Billing &amp; Collection'!$A$5:$A$8,0),MATCH(AV$83,'Billing &amp; Collection'!$4:$4,0))),NA())</f>
        <v>#N/A</v>
      </c>
      <c r="AW84" s="100" t="e">
        <f>IFERROR(IF($B$4="ALL",INDEX('Billing &amp; Collection'!$9:$9,MATCH(AW$83,'Billing &amp; Collection'!$4:$4,0)),INDEX('Billing &amp; Collection'!$5:$8,MATCH($B$4,'Billing &amp; Collection'!$A$5:$A$8,0),MATCH(AW$83,'Billing &amp; Collection'!$4:$4,0))),NA())</f>
        <v>#N/A</v>
      </c>
    </row>
    <row r="85" spans="1:49" outlineLevel="1" x14ac:dyDescent="0.25">
      <c r="A85" s="98" t="s">
        <v>42</v>
      </c>
      <c r="B85" s="100">
        <f>IFERROR(IF($B$4="ALL",INDEX('Billing &amp; Collection'!$17:$17,MATCH(B$83,'Billing &amp; Collection'!$4:$4,0)),INDEX('Billing &amp; Collection'!$13:$16,MATCH($B$4,'Billing &amp; Collection'!$A$13:$A$16,0),MATCH(B$83,'Billing &amp; Collection'!$4:$4,0))),NA())</f>
        <v>4476806.0100000007</v>
      </c>
      <c r="C85" s="100">
        <f>IFERROR(IF($B$4="ALL",INDEX('Billing &amp; Collection'!$17:$17,MATCH(C$83,'Billing &amp; Collection'!$4:$4,0)),INDEX('Billing &amp; Collection'!$13:$16,MATCH($B$4,'Billing &amp; Collection'!$A$13:$A$16,0),MATCH(C$83,'Billing &amp; Collection'!$4:$4,0))),NA())</f>
        <v>4277320.95</v>
      </c>
      <c r="D85" s="100">
        <f>IFERROR(IF($B$4="ALL",INDEX('Billing &amp; Collection'!$17:$17,MATCH(D$83,'Billing &amp; Collection'!$4:$4,0)),INDEX('Billing &amp; Collection'!$13:$16,MATCH($B$4,'Billing &amp; Collection'!$A$13:$A$16,0),MATCH(D$83,'Billing &amp; Collection'!$4:$4,0))),NA())</f>
        <v>4083691.28</v>
      </c>
      <c r="E85" s="100">
        <f>IFERROR(IF($B$4="ALL",INDEX('Billing &amp; Collection'!$17:$17,MATCH(E$83,'Billing &amp; Collection'!$4:$4,0)),INDEX('Billing &amp; Collection'!$13:$16,MATCH($B$4,'Billing &amp; Collection'!$A$13:$A$16,0),MATCH(E$83,'Billing &amp; Collection'!$4:$4,0))),NA())</f>
        <v>4527187.5300000012</v>
      </c>
      <c r="F85" s="100">
        <f>IFERROR(IF($B$4="ALL",INDEX('Billing &amp; Collection'!$17:$17,MATCH(F$83,'Billing &amp; Collection'!$4:$4,0)),INDEX('Billing &amp; Collection'!$13:$16,MATCH($B$4,'Billing &amp; Collection'!$A$13:$A$16,0),MATCH(F$83,'Billing &amp; Collection'!$4:$4,0))),NA())</f>
        <v>3944031.1199999996</v>
      </c>
      <c r="G85" s="100">
        <f>IFERROR(IF($B$4="ALL",INDEX('Billing &amp; Collection'!$17:$17,MATCH(G$83,'Billing &amp; Collection'!$4:$4,0)),INDEX('Billing &amp; Collection'!$13:$16,MATCH($B$4,'Billing &amp; Collection'!$A$13:$A$16,0),MATCH(G$83,'Billing &amp; Collection'!$4:$4,0))),NA())</f>
        <v>4084479.04</v>
      </c>
      <c r="H85" s="100">
        <f>IFERROR(IF($B$4="ALL",INDEX('Billing &amp; Collection'!$17:$17,MATCH(H$83,'Billing &amp; Collection'!$4:$4,0)),INDEX('Billing &amp; Collection'!$13:$16,MATCH($B$4,'Billing &amp; Collection'!$A$13:$A$16,0),MATCH(H$83,'Billing &amp; Collection'!$4:$4,0))),NA())</f>
        <v>4227661.9399999995</v>
      </c>
      <c r="I85" s="100">
        <f>IFERROR(IF($B$4="ALL",INDEX('Billing &amp; Collection'!$17:$17,MATCH(I$83,'Billing &amp; Collection'!$4:$4,0)),INDEX('Billing &amp; Collection'!$13:$16,MATCH($B$4,'Billing &amp; Collection'!$A$13:$A$16,0),MATCH(I$83,'Billing &amp; Collection'!$4:$4,0))),NA())</f>
        <v>4435892.62</v>
      </c>
      <c r="J85" s="100">
        <f>IFERROR(IF($B$4="ALL",INDEX('Billing &amp; Collection'!$17:$17,MATCH(J$83,'Billing &amp; Collection'!$4:$4,0)),INDEX('Billing &amp; Collection'!$13:$16,MATCH($B$4,'Billing &amp; Collection'!$A$13:$A$16,0),MATCH(J$83,'Billing &amp; Collection'!$4:$4,0))),NA())</f>
        <v>4132600.4299999997</v>
      </c>
      <c r="K85" s="100">
        <f>IFERROR(IF($B$4="ALL",INDEX('Billing &amp; Collection'!$17:$17,MATCH(K$83,'Billing &amp; Collection'!$4:$4,0)),INDEX('Billing &amp; Collection'!$13:$16,MATCH($B$4,'Billing &amp; Collection'!$A$13:$A$16,0),MATCH(K$83,'Billing &amp; Collection'!$4:$4,0))),NA())</f>
        <v>4617984.4000000004</v>
      </c>
      <c r="L85" s="100">
        <f>IFERROR(IF($B$4="ALL",INDEX('Billing &amp; Collection'!$17:$17,MATCH(L$83,'Billing &amp; Collection'!$4:$4,0)),INDEX('Billing &amp; Collection'!$13:$16,MATCH($B$4,'Billing &amp; Collection'!$A$13:$A$16,0),MATCH(L$83,'Billing &amp; Collection'!$4:$4,0))),NA())</f>
        <v>4450100.1000000006</v>
      </c>
      <c r="M85" s="100">
        <f>IFERROR(IF($B$4="ALL",INDEX('Billing &amp; Collection'!$17:$17,MATCH(M$83,'Billing &amp; Collection'!$4:$4,0)),INDEX('Billing &amp; Collection'!$13:$16,MATCH($B$4,'Billing &amp; Collection'!$A$13:$A$16,0),MATCH(M$83,'Billing &amp; Collection'!$4:$4,0))),NA())</f>
        <v>4283723.8899999997</v>
      </c>
      <c r="N85" s="100">
        <f>IFERROR(IF($B$4="ALL",INDEX('Billing &amp; Collection'!$17:$17,MATCH(N$83,'Billing &amp; Collection'!$4:$4,0)),INDEX('Billing &amp; Collection'!$13:$16,MATCH($B$4,'Billing &amp; Collection'!$A$13:$A$16,0),MATCH(N$83,'Billing &amp; Collection'!$4:$4,0))),NA())</f>
        <v>4791405.2199999988</v>
      </c>
      <c r="O85" s="100">
        <f>IFERROR(IF($B$4="ALL",INDEX('Billing &amp; Collection'!$17:$17,MATCH(O$83,'Billing &amp; Collection'!$4:$4,0)),INDEX('Billing &amp; Collection'!$13:$16,MATCH($B$4,'Billing &amp; Collection'!$A$13:$A$16,0),MATCH(O$83,'Billing &amp; Collection'!$4:$4,0))),NA())</f>
        <v>4364504.6900000004</v>
      </c>
      <c r="P85" s="100">
        <f>IFERROR(IF($B$4="ALL",INDEX('Billing &amp; Collection'!$17:$17,MATCH(P$83,'Billing &amp; Collection'!$4:$4,0)),INDEX('Billing &amp; Collection'!$13:$16,MATCH($B$4,'Billing &amp; Collection'!$A$13:$A$16,0),MATCH(P$83,'Billing &amp; Collection'!$4:$4,0))),NA())</f>
        <v>4607953.25</v>
      </c>
      <c r="Q85" s="100">
        <f>IFERROR(IF($B$4="ALL",INDEX('Billing &amp; Collection'!$17:$17,MATCH(Q$83,'Billing &amp; Collection'!$4:$4,0)),INDEX('Billing &amp; Collection'!$13:$16,MATCH($B$4,'Billing &amp; Collection'!$A$13:$A$16,0),MATCH(Q$83,'Billing &amp; Collection'!$4:$4,0))),NA())</f>
        <v>4372945.4500000011</v>
      </c>
      <c r="R85" s="100">
        <f>IFERROR(IF($B$4="ALL",INDEX('Billing &amp; Collection'!$17:$17,MATCH(R$83,'Billing &amp; Collection'!$4:$4,0)),INDEX('Billing &amp; Collection'!$13:$16,MATCH($B$4,'Billing &amp; Collection'!$A$13:$A$16,0),MATCH(R$83,'Billing &amp; Collection'!$4:$4,0))),NA())</f>
        <v>4559707.9400000004</v>
      </c>
      <c r="S85" s="100">
        <f>IFERROR(IF($B$4="ALL",INDEX('Billing &amp; Collection'!$17:$17,MATCH(S$83,'Billing &amp; Collection'!$4:$4,0)),INDEX('Billing &amp; Collection'!$13:$16,MATCH($B$4,'Billing &amp; Collection'!$A$13:$A$16,0),MATCH(S$83,'Billing &amp; Collection'!$4:$4,0))),NA())</f>
        <v>4691285.7799999993</v>
      </c>
      <c r="T85" s="100">
        <f>IFERROR(IF($B$4="ALL",INDEX('Billing &amp; Collection'!$17:$17,MATCH(T$83,'Billing &amp; Collection'!$4:$4,0)),INDEX('Billing &amp; Collection'!$13:$16,MATCH($B$4,'Billing &amp; Collection'!$A$13:$A$16,0),MATCH(T$83,'Billing &amp; Collection'!$4:$4,0))),NA())</f>
        <v>3890951.84</v>
      </c>
      <c r="U85" s="100">
        <f>IFERROR(IF($B$4="ALL",INDEX('Billing &amp; Collection'!$17:$17,MATCH(U$83,'Billing &amp; Collection'!$4:$4,0)),INDEX('Billing &amp; Collection'!$13:$16,MATCH($B$4,'Billing &amp; Collection'!$A$13:$A$16,0),MATCH(U$83,'Billing &amp; Collection'!$4:$4,0))),NA())</f>
        <v>4259936.79</v>
      </c>
      <c r="V85" s="100">
        <f>IFERROR(IF($B$4="ALL",INDEX('Billing &amp; Collection'!$17:$17,MATCH(V$83,'Billing &amp; Collection'!$4:$4,0)),INDEX('Billing &amp; Collection'!$13:$16,MATCH($B$4,'Billing &amp; Collection'!$A$13:$A$16,0),MATCH(V$83,'Billing &amp; Collection'!$4:$4,0))),NA())</f>
        <v>4717622.1199999992</v>
      </c>
      <c r="W85" s="100">
        <f>IFERROR(IF($B$4="ALL",INDEX('Billing &amp; Collection'!$17:$17,MATCH(W$83,'Billing &amp; Collection'!$4:$4,0)),INDEX('Billing &amp; Collection'!$13:$16,MATCH($B$4,'Billing &amp; Collection'!$A$13:$A$16,0),MATCH(W$83,'Billing &amp; Collection'!$4:$4,0))),NA())</f>
        <v>4694424.3800000008</v>
      </c>
      <c r="X85" s="100">
        <f>IFERROR(IF($B$4="ALL",INDEX('Billing &amp; Collection'!$17:$17,MATCH(X$83,'Billing &amp; Collection'!$4:$4,0)),INDEX('Billing &amp; Collection'!$13:$16,MATCH($B$4,'Billing &amp; Collection'!$A$13:$A$16,0),MATCH(X$83,'Billing &amp; Collection'!$4:$4,0))),NA())</f>
        <v>4950004.7699999996</v>
      </c>
      <c r="Y85" s="100">
        <f>IFERROR(IF($B$4="ALL",INDEX('Billing &amp; Collection'!$17:$17,MATCH(Y$83,'Billing &amp; Collection'!$4:$4,0)),INDEX('Billing &amp; Collection'!$13:$16,MATCH($B$4,'Billing &amp; Collection'!$A$13:$A$16,0),MATCH(Y$83,'Billing &amp; Collection'!$4:$4,0))),NA())</f>
        <v>4567852.74</v>
      </c>
      <c r="Z85" s="100">
        <f>IFERROR(IF($B$4="ALL",INDEX('Billing &amp; Collection'!$17:$17,MATCH(Z$83,'Billing &amp; Collection'!$4:$4,0)),INDEX('Billing &amp; Collection'!$13:$16,MATCH($B$4,'Billing &amp; Collection'!$A$13:$A$16,0),MATCH(Z$83,'Billing &amp; Collection'!$4:$4,0))),NA())</f>
        <v>5774412.6399999987</v>
      </c>
      <c r="AA85" s="100">
        <f>IFERROR(IF($B$4="ALL",INDEX('Billing &amp; Collection'!$17:$17,MATCH(AA$83,'Billing &amp; Collection'!$4:$4,0)),INDEX('Billing &amp; Collection'!$13:$16,MATCH($B$4,'Billing &amp; Collection'!$A$13:$A$16,0),MATCH(AA$83,'Billing &amp; Collection'!$4:$4,0))),NA())</f>
        <v>5394056.1699999999</v>
      </c>
      <c r="AB85" s="100">
        <f>IFERROR(IF($B$4="ALL",INDEX('Billing &amp; Collection'!$17:$17,MATCH(AB$83,'Billing &amp; Collection'!$4:$4,0)),INDEX('Billing &amp; Collection'!$13:$16,MATCH($B$4,'Billing &amp; Collection'!$A$13:$A$16,0),MATCH(AB$83,'Billing &amp; Collection'!$4:$4,0))),NA())</f>
        <v>5433838.2200000007</v>
      </c>
      <c r="AC85" s="100" t="e">
        <f>IFERROR(IF($B$4="ALL",INDEX('Billing &amp; Collection'!$17:$17,MATCH(AC$83,'Billing &amp; Collection'!$4:$4,0)),INDEX('Billing &amp; Collection'!$13:$16,MATCH($B$4,'Billing &amp; Collection'!$A$13:$A$16,0),MATCH(AC$83,'Billing &amp; Collection'!$4:$4,0))),NA())</f>
        <v>#N/A</v>
      </c>
      <c r="AD85" s="100" t="e">
        <f>IFERROR(IF($B$4="ALL",INDEX('Billing &amp; Collection'!$17:$17,MATCH(AD$83,'Billing &amp; Collection'!$4:$4,0)),INDEX('Billing &amp; Collection'!$13:$16,MATCH($B$4,'Billing &amp; Collection'!$A$13:$A$16,0),MATCH(AD$83,'Billing &amp; Collection'!$4:$4,0))),NA())</f>
        <v>#N/A</v>
      </c>
      <c r="AE85" s="100" t="e">
        <f>IFERROR(IF($B$4="ALL",INDEX('Billing &amp; Collection'!$17:$17,MATCH(AE$83,'Billing &amp; Collection'!$4:$4,0)),INDEX('Billing &amp; Collection'!$13:$16,MATCH($B$4,'Billing &amp; Collection'!$A$13:$A$16,0),MATCH(AE$83,'Billing &amp; Collection'!$4:$4,0))),NA())</f>
        <v>#N/A</v>
      </c>
      <c r="AF85" s="100" t="e">
        <f>IFERROR(IF($B$4="ALL",INDEX('Billing &amp; Collection'!$17:$17,MATCH(AF$83,'Billing &amp; Collection'!$4:$4,0)),INDEX('Billing &amp; Collection'!$13:$16,MATCH($B$4,'Billing &amp; Collection'!$A$13:$A$16,0),MATCH(AF$83,'Billing &amp; Collection'!$4:$4,0))),NA())</f>
        <v>#N/A</v>
      </c>
      <c r="AG85" s="100" t="e">
        <f>IFERROR(IF($B$4="ALL",INDEX('Billing &amp; Collection'!$17:$17,MATCH(AG$83,'Billing &amp; Collection'!$4:$4,0)),INDEX('Billing &amp; Collection'!$13:$16,MATCH($B$4,'Billing &amp; Collection'!$A$13:$A$16,0),MATCH(AG$83,'Billing &amp; Collection'!$4:$4,0))),NA())</f>
        <v>#N/A</v>
      </c>
      <c r="AH85" s="100" t="e">
        <f>IFERROR(IF($B$4="ALL",INDEX('Billing &amp; Collection'!$17:$17,MATCH(AH$83,'Billing &amp; Collection'!$4:$4,0)),INDEX('Billing &amp; Collection'!$13:$16,MATCH($B$4,'Billing &amp; Collection'!$A$13:$A$16,0),MATCH(AH$83,'Billing &amp; Collection'!$4:$4,0))),NA())</f>
        <v>#N/A</v>
      </c>
      <c r="AI85" s="100" t="e">
        <f>IFERROR(IF($B$4="ALL",INDEX('Billing &amp; Collection'!$17:$17,MATCH(AI$83,'Billing &amp; Collection'!$4:$4,0)),INDEX('Billing &amp; Collection'!$13:$16,MATCH($B$4,'Billing &amp; Collection'!$A$13:$A$16,0),MATCH(AI$83,'Billing &amp; Collection'!$4:$4,0))),NA())</f>
        <v>#N/A</v>
      </c>
      <c r="AJ85" s="100" t="e">
        <f>IFERROR(IF($B$4="ALL",INDEX('Billing &amp; Collection'!$17:$17,MATCH(AJ$83,'Billing &amp; Collection'!$4:$4,0)),INDEX('Billing &amp; Collection'!$13:$16,MATCH($B$4,'Billing &amp; Collection'!$A$13:$A$16,0),MATCH(AJ$83,'Billing &amp; Collection'!$4:$4,0))),NA())</f>
        <v>#N/A</v>
      </c>
      <c r="AK85" s="100" t="e">
        <f>IFERROR(IF($B$4="ALL",INDEX('Billing &amp; Collection'!$17:$17,MATCH(AK$83,'Billing &amp; Collection'!$4:$4,0)),INDEX('Billing &amp; Collection'!$13:$16,MATCH($B$4,'Billing &amp; Collection'!$A$13:$A$16,0),MATCH(AK$83,'Billing &amp; Collection'!$4:$4,0))),NA())</f>
        <v>#N/A</v>
      </c>
      <c r="AL85" s="100" t="e">
        <f>IFERROR(IF($B$4="ALL",INDEX('Billing &amp; Collection'!$17:$17,MATCH(AL$83,'Billing &amp; Collection'!$4:$4,0)),INDEX('Billing &amp; Collection'!$13:$16,MATCH($B$4,'Billing &amp; Collection'!$A$13:$A$16,0),MATCH(AL$83,'Billing &amp; Collection'!$4:$4,0))),NA())</f>
        <v>#N/A</v>
      </c>
      <c r="AM85" s="100" t="e">
        <f>IFERROR(IF($B$4="ALL",INDEX('Billing &amp; Collection'!$17:$17,MATCH(AM$83,'Billing &amp; Collection'!$4:$4,0)),INDEX('Billing &amp; Collection'!$13:$16,MATCH($B$4,'Billing &amp; Collection'!$A$13:$A$16,0),MATCH(AM$83,'Billing &amp; Collection'!$4:$4,0))),NA())</f>
        <v>#N/A</v>
      </c>
      <c r="AN85" s="100" t="e">
        <f>IFERROR(IF($B$4="ALL",INDEX('Billing &amp; Collection'!$17:$17,MATCH(AN$83,'Billing &amp; Collection'!$4:$4,0)),INDEX('Billing &amp; Collection'!$13:$16,MATCH($B$4,'Billing &amp; Collection'!$A$13:$A$16,0),MATCH(AN$83,'Billing &amp; Collection'!$4:$4,0))),NA())</f>
        <v>#N/A</v>
      </c>
      <c r="AO85" s="100" t="e">
        <f>IFERROR(IF($B$4="ALL",INDEX('Billing &amp; Collection'!$17:$17,MATCH(AO$83,'Billing &amp; Collection'!$4:$4,0)),INDEX('Billing &amp; Collection'!$13:$16,MATCH($B$4,'Billing &amp; Collection'!$A$13:$A$16,0),MATCH(AO$83,'Billing &amp; Collection'!$4:$4,0))),NA())</f>
        <v>#N/A</v>
      </c>
      <c r="AP85" s="100" t="e">
        <f>IFERROR(IF($B$4="ALL",INDEX('Billing &amp; Collection'!$17:$17,MATCH(AP$83,'Billing &amp; Collection'!$4:$4,0)),INDEX('Billing &amp; Collection'!$13:$16,MATCH($B$4,'Billing &amp; Collection'!$A$13:$A$16,0),MATCH(AP$83,'Billing &amp; Collection'!$4:$4,0))),NA())</f>
        <v>#N/A</v>
      </c>
      <c r="AQ85" s="100" t="e">
        <f>IFERROR(IF($B$4="ALL",INDEX('Billing &amp; Collection'!$17:$17,MATCH(AQ$83,'Billing &amp; Collection'!$4:$4,0)),INDEX('Billing &amp; Collection'!$13:$16,MATCH($B$4,'Billing &amp; Collection'!$A$13:$A$16,0),MATCH(AQ$83,'Billing &amp; Collection'!$4:$4,0))),NA())</f>
        <v>#N/A</v>
      </c>
      <c r="AR85" s="100" t="e">
        <f>IFERROR(IF($B$4="ALL",INDEX('Billing &amp; Collection'!$17:$17,MATCH(AR$83,'Billing &amp; Collection'!$4:$4,0)),INDEX('Billing &amp; Collection'!$13:$16,MATCH($B$4,'Billing &amp; Collection'!$A$13:$A$16,0),MATCH(AR$83,'Billing &amp; Collection'!$4:$4,0))),NA())</f>
        <v>#N/A</v>
      </c>
      <c r="AS85" s="100" t="e">
        <f>IFERROR(IF($B$4="ALL",INDEX('Billing &amp; Collection'!$17:$17,MATCH(AS$83,'Billing &amp; Collection'!$4:$4,0)),INDEX('Billing &amp; Collection'!$13:$16,MATCH($B$4,'Billing &amp; Collection'!$A$13:$A$16,0),MATCH(AS$83,'Billing &amp; Collection'!$4:$4,0))),NA())</f>
        <v>#N/A</v>
      </c>
      <c r="AT85" s="100" t="e">
        <f>IFERROR(IF($B$4="ALL",INDEX('Billing &amp; Collection'!$17:$17,MATCH(AT$83,'Billing &amp; Collection'!$4:$4,0)),INDEX('Billing &amp; Collection'!$13:$16,MATCH($B$4,'Billing &amp; Collection'!$A$13:$A$16,0),MATCH(AT$83,'Billing &amp; Collection'!$4:$4,0))),NA())</f>
        <v>#N/A</v>
      </c>
      <c r="AU85" s="100" t="e">
        <f>IFERROR(IF($B$4="ALL",INDEX('Billing &amp; Collection'!$17:$17,MATCH(AU$83,'Billing &amp; Collection'!$4:$4,0)),INDEX('Billing &amp; Collection'!$13:$16,MATCH($B$4,'Billing &amp; Collection'!$A$13:$A$16,0),MATCH(AU$83,'Billing &amp; Collection'!$4:$4,0))),NA())</f>
        <v>#N/A</v>
      </c>
      <c r="AV85" s="100" t="e">
        <f>IFERROR(IF($B$4="ALL",INDEX('Billing &amp; Collection'!$17:$17,MATCH(AV$83,'Billing &amp; Collection'!$4:$4,0)),INDEX('Billing &amp; Collection'!$13:$16,MATCH($B$4,'Billing &amp; Collection'!$A$13:$A$16,0),MATCH(AV$83,'Billing &amp; Collection'!$4:$4,0))),NA())</f>
        <v>#N/A</v>
      </c>
      <c r="AW85" s="100" t="e">
        <f>IFERROR(IF($B$4="ALL",INDEX('Billing &amp; Collection'!$17:$17,MATCH(AW$83,'Billing &amp; Collection'!$4:$4,0)),INDEX('Billing &amp; Collection'!$13:$16,MATCH($B$4,'Billing &amp; Collection'!$A$13:$A$16,0),MATCH(AW$83,'Billing &amp; Collection'!$4:$4,0))),NA())</f>
        <v>#N/A</v>
      </c>
    </row>
    <row r="86" spans="1:49" outlineLevel="1" x14ac:dyDescent="0.25">
      <c r="A86" s="98" t="s">
        <v>43</v>
      </c>
      <c r="B86" s="100">
        <f>IFERROR(IF($B$4="ALL",INDEX('Billing &amp; Collection'!$25:$25,MATCH(B$83,'Billing &amp; Collection'!$4:$4,0)),INDEX('Billing &amp; Collection'!$21:$24,MATCH($B$4,'Billing &amp; Collection'!$A$21:$A$24,0),MATCH(B$83,'Billing &amp; Collection'!$4:$4,0))),NA())</f>
        <v>4320463.53</v>
      </c>
      <c r="C86" s="100">
        <f>IFERROR(IF($B$4="ALL",INDEX('Billing &amp; Collection'!$25:$25,MATCH(C$83,'Billing &amp; Collection'!$4:$4,0)),INDEX('Billing &amp; Collection'!$21:$24,MATCH($B$4,'Billing &amp; Collection'!$A$21:$A$24,0),MATCH(C$83,'Billing &amp; Collection'!$4:$4,0))),NA())</f>
        <v>4033174.1599999997</v>
      </c>
      <c r="D86" s="100">
        <f>IFERROR(IF($B$4="ALL",INDEX('Billing &amp; Collection'!$25:$25,MATCH(D$83,'Billing &amp; Collection'!$4:$4,0)),INDEX('Billing &amp; Collection'!$21:$24,MATCH($B$4,'Billing &amp; Collection'!$A$21:$A$24,0),MATCH(D$83,'Billing &amp; Collection'!$4:$4,0))),NA())</f>
        <v>4022788.7599999993</v>
      </c>
      <c r="E86" s="100">
        <f>IFERROR(IF($B$4="ALL",INDEX('Billing &amp; Collection'!$25:$25,MATCH(E$83,'Billing &amp; Collection'!$4:$4,0)),INDEX('Billing &amp; Collection'!$21:$24,MATCH($B$4,'Billing &amp; Collection'!$A$21:$A$24,0),MATCH(E$83,'Billing &amp; Collection'!$4:$4,0))),NA())</f>
        <v>19660859.539999999</v>
      </c>
      <c r="F86" s="100">
        <f>IFERROR(IF($B$4="ALL",INDEX('Billing &amp; Collection'!$25:$25,MATCH(F$83,'Billing &amp; Collection'!$4:$4,0)),INDEX('Billing &amp; Collection'!$21:$24,MATCH($B$4,'Billing &amp; Collection'!$A$21:$A$24,0),MATCH(F$83,'Billing &amp; Collection'!$4:$4,0))),NA())</f>
        <v>4392258.4400000013</v>
      </c>
      <c r="G86" s="100">
        <f>IFERROR(IF($B$4="ALL",INDEX('Billing &amp; Collection'!$25:$25,MATCH(G$83,'Billing &amp; Collection'!$4:$4,0)),INDEX('Billing &amp; Collection'!$21:$24,MATCH($B$4,'Billing &amp; Collection'!$A$21:$A$24,0),MATCH(G$83,'Billing &amp; Collection'!$4:$4,0))),NA())</f>
        <v>3764467.1999999997</v>
      </c>
      <c r="H86" s="100">
        <f>IFERROR(IF($B$4="ALL",INDEX('Billing &amp; Collection'!$25:$25,MATCH(H$83,'Billing &amp; Collection'!$4:$4,0)),INDEX('Billing &amp; Collection'!$21:$24,MATCH($B$4,'Billing &amp; Collection'!$A$21:$A$24,0),MATCH(H$83,'Billing &amp; Collection'!$4:$4,0))),NA())</f>
        <v>3953300.3600000003</v>
      </c>
      <c r="I86" s="100">
        <f>IFERROR(IF($B$4="ALL",INDEX('Billing &amp; Collection'!$25:$25,MATCH(I$83,'Billing &amp; Collection'!$4:$4,0)),INDEX('Billing &amp; Collection'!$21:$24,MATCH($B$4,'Billing &amp; Collection'!$A$21:$A$24,0),MATCH(I$83,'Billing &amp; Collection'!$4:$4,0))),NA())</f>
        <v>3992082.2700000005</v>
      </c>
      <c r="J86" s="100">
        <f>IFERROR(IF($B$4="ALL",INDEX('Billing &amp; Collection'!$25:$25,MATCH(J$83,'Billing &amp; Collection'!$4:$4,0)),INDEX('Billing &amp; Collection'!$21:$24,MATCH($B$4,'Billing &amp; Collection'!$A$21:$A$24,0),MATCH(J$83,'Billing &amp; Collection'!$4:$4,0))),NA())</f>
        <v>3544672.4</v>
      </c>
      <c r="K86" s="100">
        <f>IFERROR(IF($B$4="ALL",INDEX('Billing &amp; Collection'!$25:$25,MATCH(K$83,'Billing &amp; Collection'!$4:$4,0)),INDEX('Billing &amp; Collection'!$21:$24,MATCH($B$4,'Billing &amp; Collection'!$A$21:$A$24,0),MATCH(K$83,'Billing &amp; Collection'!$4:$4,0))),NA())</f>
        <v>4929776.87</v>
      </c>
      <c r="L86" s="100">
        <f>IFERROR(IF($B$4="ALL",INDEX('Billing &amp; Collection'!$25:$25,MATCH(L$83,'Billing &amp; Collection'!$4:$4,0)),INDEX('Billing &amp; Collection'!$21:$24,MATCH($B$4,'Billing &amp; Collection'!$A$21:$A$24,0),MATCH(L$83,'Billing &amp; Collection'!$4:$4,0))),NA())</f>
        <v>3740989.2399999998</v>
      </c>
      <c r="M86" s="100">
        <f>IFERROR(IF($B$4="ALL",INDEX('Billing &amp; Collection'!$25:$25,MATCH(M$83,'Billing &amp; Collection'!$4:$4,0)),INDEX('Billing &amp; Collection'!$21:$24,MATCH($B$4,'Billing &amp; Collection'!$A$21:$A$24,0),MATCH(M$83,'Billing &amp; Collection'!$4:$4,0))),NA())</f>
        <v>4080794.07</v>
      </c>
      <c r="N86" s="100">
        <f>IFERROR(IF($B$4="ALL",INDEX('Billing &amp; Collection'!$25:$25,MATCH(N$83,'Billing &amp; Collection'!$4:$4,0)),INDEX('Billing &amp; Collection'!$21:$24,MATCH($B$4,'Billing &amp; Collection'!$A$21:$A$24,0),MATCH(N$83,'Billing &amp; Collection'!$4:$4,0))),NA())</f>
        <v>3915695.7899999996</v>
      </c>
      <c r="O86" s="100">
        <f>IFERROR(IF($B$4="ALL",INDEX('Billing &amp; Collection'!$25:$25,MATCH(O$83,'Billing &amp; Collection'!$4:$4,0)),INDEX('Billing &amp; Collection'!$21:$24,MATCH($B$4,'Billing &amp; Collection'!$A$21:$A$24,0),MATCH(O$83,'Billing &amp; Collection'!$4:$4,0))),NA())</f>
        <v>4047955.8</v>
      </c>
      <c r="P86" s="100">
        <f>IFERROR(IF($B$4="ALL",INDEX('Billing &amp; Collection'!$25:$25,MATCH(P$83,'Billing &amp; Collection'!$4:$4,0)),INDEX('Billing &amp; Collection'!$21:$24,MATCH($B$4,'Billing &amp; Collection'!$A$21:$A$24,0),MATCH(P$83,'Billing &amp; Collection'!$4:$4,0))),NA())</f>
        <v>3845322.9299999997</v>
      </c>
      <c r="Q86" s="100">
        <f>IFERROR(IF($B$4="ALL",INDEX('Billing &amp; Collection'!$25:$25,MATCH(Q$83,'Billing &amp; Collection'!$4:$4,0)),INDEX('Billing &amp; Collection'!$21:$24,MATCH($B$4,'Billing &amp; Collection'!$A$21:$A$24,0),MATCH(Q$83,'Billing &amp; Collection'!$4:$4,0))),NA())</f>
        <v>3786801.96</v>
      </c>
      <c r="R86" s="100">
        <f>IFERROR(IF($B$4="ALL",INDEX('Billing &amp; Collection'!$25:$25,MATCH(R$83,'Billing &amp; Collection'!$4:$4,0)),INDEX('Billing &amp; Collection'!$21:$24,MATCH($B$4,'Billing &amp; Collection'!$A$21:$A$24,0),MATCH(R$83,'Billing &amp; Collection'!$4:$4,0))),NA())</f>
        <v>4167582.0899999994</v>
      </c>
      <c r="S86" s="100">
        <f>IFERROR(IF($B$4="ALL",INDEX('Billing &amp; Collection'!$25:$25,MATCH(S$83,'Billing &amp; Collection'!$4:$4,0)),INDEX('Billing &amp; Collection'!$21:$24,MATCH($B$4,'Billing &amp; Collection'!$A$21:$A$24,0),MATCH(S$83,'Billing &amp; Collection'!$4:$4,0))),NA())</f>
        <v>3762389.9400000004</v>
      </c>
      <c r="T86" s="100">
        <f>IFERROR(IF($B$4="ALL",INDEX('Billing &amp; Collection'!$25:$25,MATCH(T$83,'Billing &amp; Collection'!$4:$4,0)),INDEX('Billing &amp; Collection'!$21:$24,MATCH($B$4,'Billing &amp; Collection'!$A$21:$A$24,0),MATCH(T$83,'Billing &amp; Collection'!$4:$4,0))),NA())</f>
        <v>4152382.81</v>
      </c>
      <c r="U86" s="100">
        <f>IFERROR(IF($B$4="ALL",INDEX('Billing &amp; Collection'!$25:$25,MATCH(U$83,'Billing &amp; Collection'!$4:$4,0)),INDEX('Billing &amp; Collection'!$21:$24,MATCH($B$4,'Billing &amp; Collection'!$A$21:$A$24,0),MATCH(U$83,'Billing &amp; Collection'!$4:$4,0))),NA())</f>
        <v>3615514.91</v>
      </c>
      <c r="V86" s="100">
        <f>IFERROR(IF($B$4="ALL",INDEX('Billing &amp; Collection'!$25:$25,MATCH(V$83,'Billing &amp; Collection'!$4:$4,0)),INDEX('Billing &amp; Collection'!$21:$24,MATCH($B$4,'Billing &amp; Collection'!$A$21:$A$24,0),MATCH(V$83,'Billing &amp; Collection'!$4:$4,0))),NA())</f>
        <v>4142996.92</v>
      </c>
      <c r="W86" s="100">
        <f>IFERROR(IF($B$4="ALL",INDEX('Billing &amp; Collection'!$25:$25,MATCH(W$83,'Billing &amp; Collection'!$4:$4,0)),INDEX('Billing &amp; Collection'!$21:$24,MATCH($B$4,'Billing &amp; Collection'!$A$21:$A$24,0),MATCH(W$83,'Billing &amp; Collection'!$4:$4,0))),NA())</f>
        <v>4269725.46</v>
      </c>
      <c r="X86" s="100">
        <f>IFERROR(IF($B$4="ALL",INDEX('Billing &amp; Collection'!$25:$25,MATCH(X$83,'Billing &amp; Collection'!$4:$4,0)),INDEX('Billing &amp; Collection'!$21:$24,MATCH($B$4,'Billing &amp; Collection'!$A$21:$A$24,0),MATCH(X$83,'Billing &amp; Collection'!$4:$4,0))),NA())</f>
        <v>3697845.08</v>
      </c>
      <c r="Y86" s="100">
        <f>IFERROR(IF($B$4="ALL",INDEX('Billing &amp; Collection'!$25:$25,MATCH(Y$83,'Billing &amp; Collection'!$4:$4,0)),INDEX('Billing &amp; Collection'!$21:$24,MATCH($B$4,'Billing &amp; Collection'!$A$21:$A$24,0),MATCH(Y$83,'Billing &amp; Collection'!$4:$4,0))),NA())</f>
        <v>4434044.79</v>
      </c>
      <c r="Z86" s="100">
        <f>IFERROR(IF($B$4="ALL",INDEX('Billing &amp; Collection'!$25:$25,MATCH(Z$83,'Billing &amp; Collection'!$4:$4,0)),INDEX('Billing &amp; Collection'!$21:$24,MATCH($B$4,'Billing &amp; Collection'!$A$21:$A$24,0),MATCH(Z$83,'Billing &amp; Collection'!$4:$4,0))),NA())</f>
        <v>4332767.8599999994</v>
      </c>
      <c r="AA86" s="100">
        <f>IFERROR(IF($B$4="ALL",INDEX('Billing &amp; Collection'!$25:$25,MATCH(AA$83,'Billing &amp; Collection'!$4:$4,0)),INDEX('Billing &amp; Collection'!$21:$24,MATCH($B$4,'Billing &amp; Collection'!$A$21:$A$24,0),MATCH(AA$83,'Billing &amp; Collection'!$4:$4,0))),NA())</f>
        <v>4496230.0000000009</v>
      </c>
      <c r="AB86" s="100">
        <f>IFERROR(IF($B$4="ALL",INDEX('Billing &amp; Collection'!$25:$25,MATCH(AB$83,'Billing &amp; Collection'!$4:$4,0)),INDEX('Billing &amp; Collection'!$21:$24,MATCH($B$4,'Billing &amp; Collection'!$A$21:$A$24,0),MATCH(AB$83,'Billing &amp; Collection'!$4:$4,0))),NA())</f>
        <v>5028576.6300000008</v>
      </c>
      <c r="AC86" s="100" t="e">
        <f>IFERROR(IF($B$4="ALL",INDEX('Billing &amp; Collection'!$25:$25,MATCH(AC$83,'Billing &amp; Collection'!$4:$4,0)),INDEX('Billing &amp; Collection'!$21:$24,MATCH($B$4,'Billing &amp; Collection'!$A$21:$A$24,0),MATCH(AC$83,'Billing &amp; Collection'!$4:$4,0))),NA())</f>
        <v>#N/A</v>
      </c>
      <c r="AD86" s="100" t="e">
        <f>IFERROR(IF($B$4="ALL",INDEX('Billing &amp; Collection'!$25:$25,MATCH(AD$83,'Billing &amp; Collection'!$4:$4,0)),INDEX('Billing &amp; Collection'!$21:$24,MATCH($B$4,'Billing &amp; Collection'!$A$21:$A$24,0),MATCH(AD$83,'Billing &amp; Collection'!$4:$4,0))),NA())</f>
        <v>#N/A</v>
      </c>
      <c r="AE86" s="100" t="e">
        <f>IFERROR(IF($B$4="ALL",INDEX('Billing &amp; Collection'!$25:$25,MATCH(AE$83,'Billing &amp; Collection'!$4:$4,0)),INDEX('Billing &amp; Collection'!$21:$24,MATCH($B$4,'Billing &amp; Collection'!$A$21:$A$24,0),MATCH(AE$83,'Billing &amp; Collection'!$4:$4,0))),NA())</f>
        <v>#N/A</v>
      </c>
      <c r="AF86" s="100" t="e">
        <f>IFERROR(IF($B$4="ALL",INDEX('Billing &amp; Collection'!$25:$25,MATCH(AF$83,'Billing &amp; Collection'!$4:$4,0)),INDEX('Billing &amp; Collection'!$21:$24,MATCH($B$4,'Billing &amp; Collection'!$A$21:$A$24,0),MATCH(AF$83,'Billing &amp; Collection'!$4:$4,0))),NA())</f>
        <v>#N/A</v>
      </c>
      <c r="AG86" s="100" t="e">
        <f>IFERROR(IF($B$4="ALL",INDEX('Billing &amp; Collection'!$25:$25,MATCH(AG$83,'Billing &amp; Collection'!$4:$4,0)),INDEX('Billing &amp; Collection'!$21:$24,MATCH($B$4,'Billing &amp; Collection'!$A$21:$A$24,0),MATCH(AG$83,'Billing &amp; Collection'!$4:$4,0))),NA())</f>
        <v>#N/A</v>
      </c>
      <c r="AH86" s="100" t="e">
        <f>IFERROR(IF($B$4="ALL",INDEX('Billing &amp; Collection'!$25:$25,MATCH(AH$83,'Billing &amp; Collection'!$4:$4,0)),INDEX('Billing &amp; Collection'!$21:$24,MATCH($B$4,'Billing &amp; Collection'!$A$21:$A$24,0),MATCH(AH$83,'Billing &amp; Collection'!$4:$4,0))),NA())</f>
        <v>#N/A</v>
      </c>
      <c r="AI86" s="100" t="e">
        <f>IFERROR(IF($B$4="ALL",INDEX('Billing &amp; Collection'!$25:$25,MATCH(AI$83,'Billing &amp; Collection'!$4:$4,0)),INDEX('Billing &amp; Collection'!$21:$24,MATCH($B$4,'Billing &amp; Collection'!$A$21:$A$24,0),MATCH(AI$83,'Billing &amp; Collection'!$4:$4,0))),NA())</f>
        <v>#N/A</v>
      </c>
      <c r="AJ86" s="100" t="e">
        <f>IFERROR(IF($B$4="ALL",INDEX('Billing &amp; Collection'!$25:$25,MATCH(AJ$83,'Billing &amp; Collection'!$4:$4,0)),INDEX('Billing &amp; Collection'!$21:$24,MATCH($B$4,'Billing &amp; Collection'!$A$21:$A$24,0),MATCH(AJ$83,'Billing &amp; Collection'!$4:$4,0))),NA())</f>
        <v>#N/A</v>
      </c>
      <c r="AK86" s="100" t="e">
        <f>IFERROR(IF($B$4="ALL",INDEX('Billing &amp; Collection'!$25:$25,MATCH(AK$83,'Billing &amp; Collection'!$4:$4,0)),INDEX('Billing &amp; Collection'!$21:$24,MATCH($B$4,'Billing &amp; Collection'!$A$21:$A$24,0),MATCH(AK$83,'Billing &amp; Collection'!$4:$4,0))),NA())</f>
        <v>#N/A</v>
      </c>
      <c r="AL86" s="100" t="e">
        <f>IFERROR(IF($B$4="ALL",INDEX('Billing &amp; Collection'!$25:$25,MATCH(AL$83,'Billing &amp; Collection'!$4:$4,0)),INDEX('Billing &amp; Collection'!$21:$24,MATCH($B$4,'Billing &amp; Collection'!$A$21:$A$24,0),MATCH(AL$83,'Billing &amp; Collection'!$4:$4,0))),NA())</f>
        <v>#N/A</v>
      </c>
      <c r="AM86" s="100" t="e">
        <f>IFERROR(IF($B$4="ALL",INDEX('Billing &amp; Collection'!$25:$25,MATCH(AM$83,'Billing &amp; Collection'!$4:$4,0)),INDEX('Billing &amp; Collection'!$21:$24,MATCH($B$4,'Billing &amp; Collection'!$A$21:$A$24,0),MATCH(AM$83,'Billing &amp; Collection'!$4:$4,0))),NA())</f>
        <v>#N/A</v>
      </c>
      <c r="AN86" s="100" t="e">
        <f>IFERROR(IF($B$4="ALL",INDEX('Billing &amp; Collection'!$25:$25,MATCH(AN$83,'Billing &amp; Collection'!$4:$4,0)),INDEX('Billing &amp; Collection'!$21:$24,MATCH($B$4,'Billing &amp; Collection'!$A$21:$A$24,0),MATCH(AN$83,'Billing &amp; Collection'!$4:$4,0))),NA())</f>
        <v>#N/A</v>
      </c>
      <c r="AO86" s="100" t="e">
        <f>IFERROR(IF($B$4="ALL",INDEX('Billing &amp; Collection'!$25:$25,MATCH(AO$83,'Billing &amp; Collection'!$4:$4,0)),INDEX('Billing &amp; Collection'!$21:$24,MATCH($B$4,'Billing &amp; Collection'!$A$21:$A$24,0),MATCH(AO$83,'Billing &amp; Collection'!$4:$4,0))),NA())</f>
        <v>#N/A</v>
      </c>
      <c r="AP86" s="100" t="e">
        <f>IFERROR(IF($B$4="ALL",INDEX('Billing &amp; Collection'!$25:$25,MATCH(AP$83,'Billing &amp; Collection'!$4:$4,0)),INDEX('Billing &amp; Collection'!$21:$24,MATCH($B$4,'Billing &amp; Collection'!$A$21:$A$24,0),MATCH(AP$83,'Billing &amp; Collection'!$4:$4,0))),NA())</f>
        <v>#N/A</v>
      </c>
      <c r="AQ86" s="100" t="e">
        <f>IFERROR(IF($B$4="ALL",INDEX('Billing &amp; Collection'!$25:$25,MATCH(AQ$83,'Billing &amp; Collection'!$4:$4,0)),INDEX('Billing &amp; Collection'!$21:$24,MATCH($B$4,'Billing &amp; Collection'!$A$21:$A$24,0),MATCH(AQ$83,'Billing &amp; Collection'!$4:$4,0))),NA())</f>
        <v>#N/A</v>
      </c>
      <c r="AR86" s="100" t="e">
        <f>IFERROR(IF($B$4="ALL",INDEX('Billing &amp; Collection'!$25:$25,MATCH(AR$83,'Billing &amp; Collection'!$4:$4,0)),INDEX('Billing &amp; Collection'!$21:$24,MATCH($B$4,'Billing &amp; Collection'!$A$21:$A$24,0),MATCH(AR$83,'Billing &amp; Collection'!$4:$4,0))),NA())</f>
        <v>#N/A</v>
      </c>
      <c r="AS86" s="100" t="e">
        <f>IFERROR(IF($B$4="ALL",INDEX('Billing &amp; Collection'!$25:$25,MATCH(AS$83,'Billing &amp; Collection'!$4:$4,0)),INDEX('Billing &amp; Collection'!$21:$24,MATCH($B$4,'Billing &amp; Collection'!$A$21:$A$24,0),MATCH(AS$83,'Billing &amp; Collection'!$4:$4,0))),NA())</f>
        <v>#N/A</v>
      </c>
      <c r="AT86" s="100" t="e">
        <f>IFERROR(IF($B$4="ALL",INDEX('Billing &amp; Collection'!$25:$25,MATCH(AT$83,'Billing &amp; Collection'!$4:$4,0)),INDEX('Billing &amp; Collection'!$21:$24,MATCH($B$4,'Billing &amp; Collection'!$A$21:$A$24,0),MATCH(AT$83,'Billing &amp; Collection'!$4:$4,0))),NA())</f>
        <v>#N/A</v>
      </c>
      <c r="AU86" s="100" t="e">
        <f>IFERROR(IF($B$4="ALL",INDEX('Billing &amp; Collection'!$25:$25,MATCH(AU$83,'Billing &amp; Collection'!$4:$4,0)),INDEX('Billing &amp; Collection'!$21:$24,MATCH($B$4,'Billing &amp; Collection'!$A$21:$A$24,0),MATCH(AU$83,'Billing &amp; Collection'!$4:$4,0))),NA())</f>
        <v>#N/A</v>
      </c>
      <c r="AV86" s="100" t="e">
        <f>IFERROR(IF($B$4="ALL",INDEX('Billing &amp; Collection'!$25:$25,MATCH(AV$83,'Billing &amp; Collection'!$4:$4,0)),INDEX('Billing &amp; Collection'!$21:$24,MATCH($B$4,'Billing &amp; Collection'!$A$21:$A$24,0),MATCH(AV$83,'Billing &amp; Collection'!$4:$4,0))),NA())</f>
        <v>#N/A</v>
      </c>
      <c r="AW86" s="100" t="e">
        <f>IFERROR(IF($B$4="ALL",INDEX('Billing &amp; Collection'!$25:$25,MATCH(AW$83,'Billing &amp; Collection'!$4:$4,0)),INDEX('Billing &amp; Collection'!$21:$24,MATCH($B$4,'Billing &amp; Collection'!$A$21:$A$24,0),MATCH(AW$83,'Billing &amp; Collection'!$4:$4,0))),NA())</f>
        <v>#N/A</v>
      </c>
    </row>
    <row r="87" spans="1:49" outlineLevel="1" x14ac:dyDescent="0.25">
      <c r="A87" s="98" t="s">
        <v>44</v>
      </c>
      <c r="B87" s="101">
        <f>IFERROR(IF($B$4="ALL",INDEX('Billing &amp; Collection'!$33:$33,MATCH(B$83,'Billing &amp; Collection'!$4:$4,0)),INDEX('Billing &amp; Collection'!$29:$32,MATCH($B$4,'Billing &amp; Collection'!$A$29:$A$32,0),MATCH(B$83,'Billing &amp; Collection'!$4:$4,0)))/100,NA())</f>
        <v>0.96507722701167464</v>
      </c>
      <c r="C87" s="101">
        <f>IFERROR(IF($B$4="ALL",INDEX('Billing &amp; Collection'!$33:$33,MATCH(C$83,'Billing &amp; Collection'!$4:$4,0)),INDEX('Billing &amp; Collection'!$29:$32,MATCH($B$4,'Billing &amp; Collection'!$A$29:$A$32,0),MATCH(C$83,'Billing &amp; Collection'!$4:$4,0)))/100,NA())</f>
        <v>0.94292062885764982</v>
      </c>
      <c r="D87" s="101">
        <f>IFERROR(IF($B$4="ALL",INDEX('Billing &amp; Collection'!$33:$33,MATCH(D$83,'Billing &amp; Collection'!$4:$4,0)),INDEX('Billing &amp; Collection'!$29:$32,MATCH($B$4,'Billing &amp; Collection'!$A$29:$A$32,0),MATCH(D$83,'Billing &amp; Collection'!$4:$4,0)))/100,NA())</f>
        <v>0.98508640447472795</v>
      </c>
      <c r="E87" s="101">
        <f>IFERROR(IF($B$4="ALL",INDEX('Billing &amp; Collection'!$33:$33,MATCH(E$83,'Billing &amp; Collection'!$4:$4,0)),INDEX('Billing &amp; Collection'!$29:$32,MATCH($B$4,'Billing &amp; Collection'!$A$29:$A$32,0),MATCH(E$83,'Billing &amp; Collection'!$4:$4,0)))/100,NA())</f>
        <v>4.342841865885771</v>
      </c>
      <c r="F87" s="101">
        <f>IFERROR(IF($B$4="ALL",INDEX('Billing &amp; Collection'!$33:$33,MATCH(F$83,'Billing &amp; Collection'!$4:$4,0)),INDEX('Billing &amp; Collection'!$29:$32,MATCH($B$4,'Billing &amp; Collection'!$A$29:$A$32,0),MATCH(F$83,'Billing &amp; Collection'!$4:$4,0)))/100,NA())</f>
        <v>1.1136470038806392</v>
      </c>
      <c r="G87" s="101">
        <f>IFERROR(IF($B$4="ALL",INDEX('Billing &amp; Collection'!$33:$33,MATCH(G$83,'Billing &amp; Collection'!$4:$4,0)),INDEX('Billing &amp; Collection'!$29:$32,MATCH($B$4,'Billing &amp; Collection'!$A$29:$A$32,0),MATCH(G$83,'Billing &amp; Collection'!$4:$4,0)))/100,NA())</f>
        <v>0.92165173652109122</v>
      </c>
      <c r="H87" s="101">
        <f>IFERROR(IF($B$4="ALL",INDEX('Billing &amp; Collection'!$33:$33,MATCH(H$83,'Billing &amp; Collection'!$4:$4,0)),INDEX('Billing &amp; Collection'!$29:$32,MATCH($B$4,'Billing &amp; Collection'!$A$29:$A$32,0),MATCH(H$83,'Billing &amp; Collection'!$4:$4,0)))/100,NA())</f>
        <v>0.935103235808869</v>
      </c>
      <c r="I87" s="101">
        <f>IFERROR(IF($B$4="ALL",INDEX('Billing &amp; Collection'!$33:$33,MATCH(I$83,'Billing &amp; Collection'!$4:$4,0)),INDEX('Billing &amp; Collection'!$29:$32,MATCH($B$4,'Billing &amp; Collection'!$A$29:$A$32,0),MATCH(I$83,'Billing &amp; Collection'!$4:$4,0)))/100,NA())</f>
        <v>0.89995015929849098</v>
      </c>
      <c r="J87" s="101">
        <f>IFERROR(IF($B$4="ALL",INDEX('Billing &amp; Collection'!$33:$33,MATCH(J$83,'Billing &amp; Collection'!$4:$4,0)),INDEX('Billing &amp; Collection'!$29:$32,MATCH($B$4,'Billing &amp; Collection'!$A$29:$A$32,0),MATCH(J$83,'Billing &amp; Collection'!$4:$4,0)))/100,NA())</f>
        <v>0.8577341216605352</v>
      </c>
      <c r="K87" s="101">
        <f>IFERROR(IF($B$4="ALL",INDEX('Billing &amp; Collection'!$33:$33,MATCH(K$83,'Billing &amp; Collection'!$4:$4,0)),INDEX('Billing &amp; Collection'!$29:$32,MATCH($B$4,'Billing &amp; Collection'!$A$29:$A$32,0),MATCH(K$83,'Billing &amp; Collection'!$4:$4,0)))/100,NA())</f>
        <v>1.0675170037386874</v>
      </c>
      <c r="L87" s="101">
        <f>IFERROR(IF($B$4="ALL",INDEX('Billing &amp; Collection'!$33:$33,MATCH(L$83,'Billing &amp; Collection'!$4:$4,0)),INDEX('Billing &amp; Collection'!$29:$32,MATCH($B$4,'Billing &amp; Collection'!$A$29:$A$32,0),MATCH(L$83,'Billing &amp; Collection'!$4:$4,0)))/100,NA())</f>
        <v>0.84065282935995067</v>
      </c>
      <c r="M87" s="101">
        <f>IFERROR(IF($B$4="ALL",INDEX('Billing &amp; Collection'!$33:$33,MATCH(M$83,'Billing &amp; Collection'!$4:$4,0)),INDEX('Billing &amp; Collection'!$29:$32,MATCH($B$4,'Billing &amp; Collection'!$A$29:$A$32,0),MATCH(M$83,'Billing &amp; Collection'!$4:$4,0)))/100,NA())</f>
        <v>0.95262770775826089</v>
      </c>
      <c r="N87" s="101">
        <f>IFERROR(IF($B$4="ALL",INDEX('Billing &amp; Collection'!$33:$33,MATCH(N$83,'Billing &amp; Collection'!$4:$4,0)),INDEX('Billing &amp; Collection'!$29:$32,MATCH($B$4,'Billing &amp; Collection'!$A$29:$A$32,0),MATCH(N$83,'Billing &amp; Collection'!$4:$4,0)))/100,NA())</f>
        <v>0.81723327713033644</v>
      </c>
      <c r="O87" s="101">
        <f>IFERROR(IF($B$4="ALL",INDEX('Billing &amp; Collection'!$33:$33,MATCH(O$83,'Billing &amp; Collection'!$4:$4,0)),INDEX('Billing &amp; Collection'!$29:$32,MATCH($B$4,'Billing &amp; Collection'!$A$29:$A$32,0),MATCH(O$83,'Billing &amp; Collection'!$4:$4,0)))/100,NA())</f>
        <v>0.92747197849843521</v>
      </c>
      <c r="P87" s="101">
        <f>IFERROR(IF($B$4="ALL",INDEX('Billing &amp; Collection'!$33:$33,MATCH(P$83,'Billing &amp; Collection'!$4:$4,0)),INDEX('Billing &amp; Collection'!$29:$32,MATCH($B$4,'Billing &amp; Collection'!$A$29:$A$32,0),MATCH(P$83,'Billing &amp; Collection'!$4:$4,0)))/100,NA())</f>
        <v>0.83449694937768726</v>
      </c>
      <c r="Q87" s="101">
        <f>IFERROR(IF($B$4="ALL",INDEX('Billing &amp; Collection'!$33:$33,MATCH(Q$83,'Billing &amp; Collection'!$4:$4,0)),INDEX('Billing &amp; Collection'!$29:$32,MATCH($B$4,'Billing &amp; Collection'!$A$29:$A$32,0),MATCH(Q$83,'Billing &amp; Collection'!$4:$4,0)))/100,NA())</f>
        <v>0.86596139908399705</v>
      </c>
      <c r="R87" s="101">
        <f>IFERROR(IF($B$4="ALL",INDEX('Billing &amp; Collection'!$33:$33,MATCH(R$83,'Billing &amp; Collection'!$4:$4,0)),INDEX('Billing &amp; Collection'!$29:$32,MATCH($B$4,'Billing &amp; Collection'!$A$29:$A$32,0),MATCH(R$83,'Billing &amp; Collection'!$4:$4,0)))/100,NA())</f>
        <v>0.91400198101284513</v>
      </c>
      <c r="S87" s="101">
        <f>IFERROR(IF($B$4="ALL",INDEX('Billing &amp; Collection'!$33:$33,MATCH(S$83,'Billing &amp; Collection'!$4:$4,0)),INDEX('Billing &amp; Collection'!$29:$32,MATCH($B$4,'Billing &amp; Collection'!$A$29:$A$32,0),MATCH(S$83,'Billing &amp; Collection'!$4:$4,0)))/100,NA())</f>
        <v>0.80199546913980602</v>
      </c>
      <c r="T87" s="101">
        <f>IFERROR(IF($B$4="ALL",INDEX('Billing &amp; Collection'!$33:$33,MATCH(T$83,'Billing &amp; Collection'!$4:$4,0)),INDEX('Billing &amp; Collection'!$29:$32,MATCH($B$4,'Billing &amp; Collection'!$A$29:$A$32,0),MATCH(T$83,'Billing &amp; Collection'!$4:$4,0)))/100,NA())</f>
        <v>1.0671894643651001</v>
      </c>
      <c r="U87" s="101">
        <f>IFERROR(IF($B$4="ALL",INDEX('Billing &amp; Collection'!$33:$33,MATCH(U$83,'Billing &amp; Collection'!$4:$4,0)),INDEX('Billing &amp; Collection'!$29:$32,MATCH($B$4,'Billing &amp; Collection'!$A$29:$A$32,0),MATCH(U$83,'Billing &amp; Collection'!$4:$4,0)))/100,NA())</f>
        <v>0.84872501359345298</v>
      </c>
      <c r="V87" s="101">
        <f>IFERROR(IF($B$4="ALL",INDEX('Billing &amp; Collection'!$33:$33,MATCH(V$83,'Billing &amp; Collection'!$4:$4,0)),INDEX('Billing &amp; Collection'!$29:$32,MATCH($B$4,'Billing &amp; Collection'!$A$29:$A$32,0),MATCH(V$83,'Billing &amp; Collection'!$4:$4,0)))/100,NA())</f>
        <v>0.87819600947606213</v>
      </c>
      <c r="W87" s="101">
        <f>IFERROR(IF($B$4="ALL",INDEX('Billing &amp; Collection'!$33:$33,MATCH(W$83,'Billing &amp; Collection'!$4:$4,0)),INDEX('Billing &amp; Collection'!$29:$32,MATCH($B$4,'Billing &amp; Collection'!$A$29:$A$32,0),MATCH(W$83,'Billing &amp; Collection'!$4:$4,0)))/100,NA())</f>
        <v>0.90953120433478984</v>
      </c>
      <c r="X87" s="101">
        <f>IFERROR(IF($B$4="ALL",INDEX('Billing &amp; Collection'!$33:$33,MATCH(X$83,'Billing &amp; Collection'!$4:$4,0)),INDEX('Billing &amp; Collection'!$29:$32,MATCH($B$4,'Billing &amp; Collection'!$A$29:$A$32,0),MATCH(X$83,'Billing &amp; Collection'!$4:$4,0)))/100,NA())</f>
        <v>0.74703869022736324</v>
      </c>
      <c r="Y87" s="101">
        <f>IFERROR(IF($B$4="ALL",INDEX('Billing &amp; Collection'!$33:$33,MATCH(Y$83,'Billing &amp; Collection'!$4:$4,0)),INDEX('Billing &amp; Collection'!$29:$32,MATCH($B$4,'Billing &amp; Collection'!$A$29:$A$32,0),MATCH(Y$83,'Billing &amp; Collection'!$4:$4,0)))/100,NA())</f>
        <v>0.9707065972533957</v>
      </c>
      <c r="Z87" s="101">
        <f>IFERROR(IF($B$4="ALL",INDEX('Billing &amp; Collection'!$33:$33,MATCH(Z$83,'Billing &amp; Collection'!$4:$4,0)),INDEX('Billing &amp; Collection'!$29:$32,MATCH($B$4,'Billing &amp; Collection'!$A$29:$A$32,0),MATCH(Z$83,'Billing &amp; Collection'!$4:$4,0)))/100,NA())</f>
        <v>0.75033914791375222</v>
      </c>
      <c r="AA87" s="101">
        <f>IFERROR(IF($B$4="ALL",INDEX('Billing &amp; Collection'!$33:$33,MATCH(AA$83,'Billing &amp; Collection'!$4:$4,0)),INDEX('Billing &amp; Collection'!$29:$32,MATCH($B$4,'Billing &amp; Collection'!$A$29:$A$32,0),MATCH(AA$83,'Billing &amp; Collection'!$4:$4,0)))/100,NA())</f>
        <v>0.83355268434292218</v>
      </c>
      <c r="AB87" s="101">
        <f>IFERROR(IF($B$4="ALL",INDEX('Billing &amp; Collection'!$33:$33,MATCH(AB$83,'Billing &amp; Collection'!$4:$4,0)),INDEX('Billing &amp; Collection'!$29:$32,MATCH($B$4,'Billing &amp; Collection'!$A$29:$A$32,0),MATCH(AB$83,'Billing &amp; Collection'!$4:$4,0)))/100,NA())</f>
        <v>0.92541890766854673</v>
      </c>
      <c r="AC87" s="101" t="e">
        <f>IFERROR(IF($B$4="ALL",INDEX('Billing &amp; Collection'!$33:$33,MATCH(AC$83,'Billing &amp; Collection'!$4:$4,0)),INDEX('Billing &amp; Collection'!$29:$32,MATCH($B$4,'Billing &amp; Collection'!$A$29:$A$32,0),MATCH(AC$83,'Billing &amp; Collection'!$4:$4,0)))/100,NA())</f>
        <v>#N/A</v>
      </c>
      <c r="AD87" s="101" t="e">
        <f>IFERROR(IF($B$4="ALL",INDEX('Billing &amp; Collection'!$33:$33,MATCH(AD$83,'Billing &amp; Collection'!$4:$4,0)),INDEX('Billing &amp; Collection'!$29:$32,MATCH($B$4,'Billing &amp; Collection'!$A$29:$A$32,0),MATCH(AD$83,'Billing &amp; Collection'!$4:$4,0)))/100,NA())</f>
        <v>#N/A</v>
      </c>
      <c r="AE87" s="101" t="e">
        <f>IFERROR(IF($B$4="ALL",INDEX('Billing &amp; Collection'!$33:$33,MATCH(AE$83,'Billing &amp; Collection'!$4:$4,0)),INDEX('Billing &amp; Collection'!$29:$32,MATCH($B$4,'Billing &amp; Collection'!$A$29:$A$32,0),MATCH(AE$83,'Billing &amp; Collection'!$4:$4,0)))/100,NA())</f>
        <v>#N/A</v>
      </c>
      <c r="AF87" s="101" t="e">
        <f>IFERROR(IF($B$4="ALL",INDEX('Billing &amp; Collection'!$33:$33,MATCH(AF$83,'Billing &amp; Collection'!$4:$4,0)),INDEX('Billing &amp; Collection'!$29:$32,MATCH($B$4,'Billing &amp; Collection'!$A$29:$A$32,0),MATCH(AF$83,'Billing &amp; Collection'!$4:$4,0)))/100,NA())</f>
        <v>#N/A</v>
      </c>
      <c r="AG87" s="101" t="e">
        <f>IFERROR(IF($B$4="ALL",INDEX('Billing &amp; Collection'!$33:$33,MATCH(AG$83,'Billing &amp; Collection'!$4:$4,0)),INDEX('Billing &amp; Collection'!$29:$32,MATCH($B$4,'Billing &amp; Collection'!$A$29:$A$32,0),MATCH(AG$83,'Billing &amp; Collection'!$4:$4,0)))/100,NA())</f>
        <v>#N/A</v>
      </c>
      <c r="AH87" s="101" t="e">
        <f>IFERROR(IF($B$4="ALL",INDEX('Billing &amp; Collection'!$33:$33,MATCH(AH$83,'Billing &amp; Collection'!$4:$4,0)),INDEX('Billing &amp; Collection'!$29:$32,MATCH($B$4,'Billing &amp; Collection'!$A$29:$A$32,0),MATCH(AH$83,'Billing &amp; Collection'!$4:$4,0)))/100,NA())</f>
        <v>#N/A</v>
      </c>
      <c r="AI87" s="101" t="e">
        <f>IFERROR(IF($B$4="ALL",INDEX('Billing &amp; Collection'!$33:$33,MATCH(AI$83,'Billing &amp; Collection'!$4:$4,0)),INDEX('Billing &amp; Collection'!$29:$32,MATCH($B$4,'Billing &amp; Collection'!$A$29:$A$32,0),MATCH(AI$83,'Billing &amp; Collection'!$4:$4,0)))/100,NA())</f>
        <v>#N/A</v>
      </c>
      <c r="AJ87" s="101" t="e">
        <f>IFERROR(IF($B$4="ALL",INDEX('Billing &amp; Collection'!$33:$33,MATCH(AJ$83,'Billing &amp; Collection'!$4:$4,0)),INDEX('Billing &amp; Collection'!$29:$32,MATCH($B$4,'Billing &amp; Collection'!$A$29:$A$32,0),MATCH(AJ$83,'Billing &amp; Collection'!$4:$4,0)))/100,NA())</f>
        <v>#N/A</v>
      </c>
      <c r="AK87" s="101" t="e">
        <f>IFERROR(IF($B$4="ALL",INDEX('Billing &amp; Collection'!$33:$33,MATCH(AK$83,'Billing &amp; Collection'!$4:$4,0)),INDEX('Billing &amp; Collection'!$29:$32,MATCH($B$4,'Billing &amp; Collection'!$A$29:$A$32,0),MATCH(AK$83,'Billing &amp; Collection'!$4:$4,0)))/100,NA())</f>
        <v>#N/A</v>
      </c>
      <c r="AL87" s="101" t="e">
        <f>IFERROR(IF($B$4="ALL",INDEX('Billing &amp; Collection'!$33:$33,MATCH(AL$83,'Billing &amp; Collection'!$4:$4,0)),INDEX('Billing &amp; Collection'!$29:$32,MATCH($B$4,'Billing &amp; Collection'!$A$29:$A$32,0),MATCH(AL$83,'Billing &amp; Collection'!$4:$4,0)))/100,NA())</f>
        <v>#N/A</v>
      </c>
      <c r="AM87" s="101" t="e">
        <f>IFERROR(IF($B$4="ALL",INDEX('Billing &amp; Collection'!$33:$33,MATCH(AM$83,'Billing &amp; Collection'!$4:$4,0)),INDEX('Billing &amp; Collection'!$29:$32,MATCH($B$4,'Billing &amp; Collection'!$A$29:$A$32,0),MATCH(AM$83,'Billing &amp; Collection'!$4:$4,0)))/100,NA())</f>
        <v>#N/A</v>
      </c>
      <c r="AN87" s="101" t="e">
        <f>IFERROR(IF($B$4="ALL",INDEX('Billing &amp; Collection'!$33:$33,MATCH(AN$83,'Billing &amp; Collection'!$4:$4,0)),INDEX('Billing &amp; Collection'!$29:$32,MATCH($B$4,'Billing &amp; Collection'!$A$29:$A$32,0),MATCH(AN$83,'Billing &amp; Collection'!$4:$4,0)))/100,NA())</f>
        <v>#N/A</v>
      </c>
      <c r="AO87" s="101" t="e">
        <f>IFERROR(IF($B$4="ALL",INDEX('Billing &amp; Collection'!$33:$33,MATCH(AO$83,'Billing &amp; Collection'!$4:$4,0)),INDEX('Billing &amp; Collection'!$29:$32,MATCH($B$4,'Billing &amp; Collection'!$A$29:$A$32,0),MATCH(AO$83,'Billing &amp; Collection'!$4:$4,0)))/100,NA())</f>
        <v>#N/A</v>
      </c>
      <c r="AP87" s="101" t="e">
        <f>IFERROR(IF($B$4="ALL",INDEX('Billing &amp; Collection'!$33:$33,MATCH(AP$83,'Billing &amp; Collection'!$4:$4,0)),INDEX('Billing &amp; Collection'!$29:$32,MATCH($B$4,'Billing &amp; Collection'!$A$29:$A$32,0),MATCH(AP$83,'Billing &amp; Collection'!$4:$4,0)))/100,NA())</f>
        <v>#N/A</v>
      </c>
      <c r="AQ87" s="101" t="e">
        <f>IFERROR(IF($B$4="ALL",INDEX('Billing &amp; Collection'!$33:$33,MATCH(AQ$83,'Billing &amp; Collection'!$4:$4,0)),INDEX('Billing &amp; Collection'!$29:$32,MATCH($B$4,'Billing &amp; Collection'!$A$29:$A$32,0),MATCH(AQ$83,'Billing &amp; Collection'!$4:$4,0)))/100,NA())</f>
        <v>#N/A</v>
      </c>
      <c r="AR87" s="101" t="e">
        <f>IFERROR(IF($B$4="ALL",INDEX('Billing &amp; Collection'!$33:$33,MATCH(AR$83,'Billing &amp; Collection'!$4:$4,0)),INDEX('Billing &amp; Collection'!$29:$32,MATCH($B$4,'Billing &amp; Collection'!$A$29:$A$32,0),MATCH(AR$83,'Billing &amp; Collection'!$4:$4,0)))/100,NA())</f>
        <v>#N/A</v>
      </c>
      <c r="AS87" s="101" t="e">
        <f>IFERROR(IF($B$4="ALL",INDEX('Billing &amp; Collection'!$33:$33,MATCH(AS$83,'Billing &amp; Collection'!$4:$4,0)),INDEX('Billing &amp; Collection'!$29:$32,MATCH($B$4,'Billing &amp; Collection'!$A$29:$A$32,0),MATCH(AS$83,'Billing &amp; Collection'!$4:$4,0)))/100,NA())</f>
        <v>#N/A</v>
      </c>
      <c r="AT87" s="101" t="e">
        <f>IFERROR(IF($B$4="ALL",INDEX('Billing &amp; Collection'!$33:$33,MATCH(AT$83,'Billing &amp; Collection'!$4:$4,0)),INDEX('Billing &amp; Collection'!$29:$32,MATCH($B$4,'Billing &amp; Collection'!$A$29:$A$32,0),MATCH(AT$83,'Billing &amp; Collection'!$4:$4,0)))/100,NA())</f>
        <v>#N/A</v>
      </c>
      <c r="AU87" s="101" t="e">
        <f>IFERROR(IF($B$4="ALL",INDEX('Billing &amp; Collection'!$33:$33,MATCH(AU$83,'Billing &amp; Collection'!$4:$4,0)),INDEX('Billing &amp; Collection'!$29:$32,MATCH($B$4,'Billing &amp; Collection'!$A$29:$A$32,0),MATCH(AU$83,'Billing &amp; Collection'!$4:$4,0)))/100,NA())</f>
        <v>#N/A</v>
      </c>
      <c r="AV87" s="101" t="e">
        <f>IFERROR(IF($B$4="ALL",INDEX('Billing &amp; Collection'!$33:$33,MATCH(AV$83,'Billing &amp; Collection'!$4:$4,0)),INDEX('Billing &amp; Collection'!$29:$32,MATCH($B$4,'Billing &amp; Collection'!$A$29:$A$32,0),MATCH(AV$83,'Billing &amp; Collection'!$4:$4,0)))/100,NA())</f>
        <v>#N/A</v>
      </c>
      <c r="AW87" s="101" t="e">
        <f>IFERROR(IF($B$4="ALL",INDEX('Billing &amp; Collection'!$33:$33,MATCH(AW$83,'Billing &amp; Collection'!$4:$4,0)),INDEX('Billing &amp; Collection'!$29:$32,MATCH($B$4,'Billing &amp; Collection'!$A$29:$A$32,0),MATCH(AW$83,'Billing &amp; Collection'!$4:$4,0)))/100,NA())</f>
        <v>#N/A</v>
      </c>
    </row>
    <row r="88" spans="1:49" outlineLevel="1" x14ac:dyDescent="0.25">
      <c r="A88" s="98" t="s">
        <v>45</v>
      </c>
      <c r="B88" s="100">
        <f>IFERROR(IF($B$4="ALL",INDEX('Billing &amp; Collection'!$41:$41,MATCH(B$83,'Billing &amp; Collection'!$4:$4,0)),INDEX('Billing &amp; Collection'!$37:$40,MATCH($B$4,'Billing &amp; Collection'!$A$37:$A$40,0),MATCH(B$83,'Billing &amp; Collection'!$4:$4,0))),NA())</f>
        <v>39239075.180000007</v>
      </c>
      <c r="C88" s="100">
        <f>IFERROR(IF($B$4="ALL",INDEX('Billing &amp; Collection'!$41:$41,MATCH(C$83,'Billing &amp; Collection'!$4:$4,0)),INDEX('Billing &amp; Collection'!$37:$40,MATCH($B$4,'Billing &amp; Collection'!$A$37:$A$40,0),MATCH(C$83,'Billing &amp; Collection'!$4:$4,0))),NA())</f>
        <v>39490971.270000018</v>
      </c>
      <c r="D88" s="100">
        <f>IFERROR(IF($B$4="ALL",INDEX('Billing &amp; Collection'!$41:$41,MATCH(D$83,'Billing &amp; Collection'!$4:$4,0)),INDEX('Billing &amp; Collection'!$37:$40,MATCH($B$4,'Billing &amp; Collection'!$A$37:$A$40,0),MATCH(D$83,'Billing &amp; Collection'!$4:$4,0))),NA())</f>
        <v>39579858.410000011</v>
      </c>
      <c r="E88" s="100">
        <f>IFERROR(IF($B$4="ALL",INDEX('Billing &amp; Collection'!$41:$41,MATCH(E$83,'Billing &amp; Collection'!$4:$4,0)),INDEX('Billing &amp; Collection'!$37:$40,MATCH($B$4,'Billing &amp; Collection'!$A$37:$A$40,0),MATCH(E$83,'Billing &amp; Collection'!$4:$4,0))),NA())</f>
        <v>24407550.989999998</v>
      </c>
      <c r="F88" s="100">
        <f>IFERROR(IF($B$4="ALL",INDEX('Billing &amp; Collection'!$41:$41,MATCH(F$83,'Billing &amp; Collection'!$4:$4,0)),INDEX('Billing &amp; Collection'!$37:$40,MATCH($B$4,'Billing &amp; Collection'!$A$37:$A$40,0),MATCH(F$83,'Billing &amp; Collection'!$4:$4,0))),NA())</f>
        <v>23877268.219999999</v>
      </c>
      <c r="G88" s="100">
        <f>IFERROR(IF($B$4="ALL",INDEX('Billing &amp; Collection'!$41:$41,MATCH(G$83,'Billing &amp; Collection'!$4:$4,0)),INDEX('Billing &amp; Collection'!$37:$40,MATCH($B$4,'Billing &amp; Collection'!$A$37:$A$40,0),MATCH(G$83,'Billing &amp; Collection'!$4:$4,0))),NA())</f>
        <v>24197337.43</v>
      </c>
      <c r="H88" s="100">
        <f>IFERROR(IF($B$4="ALL",INDEX('Billing &amp; Collection'!$41:$41,MATCH(H$83,'Billing &amp; Collection'!$4:$4,0)),INDEX('Billing &amp; Collection'!$37:$40,MATCH($B$4,'Billing &amp; Collection'!$A$37:$A$40,0),MATCH(H$83,'Billing &amp; Collection'!$4:$4,0))),NA())</f>
        <v>24440417.52</v>
      </c>
      <c r="I88" s="100">
        <f>IFERROR(IF($B$4="ALL",INDEX('Billing &amp; Collection'!$41:$41,MATCH(I$83,'Billing &amp; Collection'!$4:$4,0)),INDEX('Billing &amp; Collection'!$37:$40,MATCH($B$4,'Billing &amp; Collection'!$A$37:$A$40,0),MATCH(I$83,'Billing &amp; Collection'!$4:$4,0))),NA())</f>
        <v>24860111.239999998</v>
      </c>
      <c r="J88" s="100">
        <f>IFERROR(IF($B$4="ALL",INDEX('Billing &amp; Collection'!$41:$41,MATCH(J$83,'Billing &amp; Collection'!$4:$4,0)),INDEX('Billing &amp; Collection'!$37:$40,MATCH($B$4,'Billing &amp; Collection'!$A$37:$A$40,0),MATCH(J$83,'Billing &amp; Collection'!$4:$4,0))),NA())</f>
        <v>24788662.359999999</v>
      </c>
      <c r="K88" s="100">
        <f>IFERROR(IF($B$4="ALL",INDEX('Billing &amp; Collection'!$41:$41,MATCH(K$83,'Billing &amp; Collection'!$4:$4,0)),INDEX('Billing &amp; Collection'!$37:$40,MATCH($B$4,'Billing &amp; Collection'!$A$37:$A$40,0),MATCH(K$83,'Billing &amp; Collection'!$4:$4,0))),NA())</f>
        <v>24354197.41</v>
      </c>
      <c r="L88" s="100">
        <f>IFERROR(IF($B$4="ALL",INDEX('Billing &amp; Collection'!$41:$41,MATCH(L$83,'Billing &amp; Collection'!$4:$4,0)),INDEX('Billing &amp; Collection'!$37:$40,MATCH($B$4,'Billing &amp; Collection'!$A$37:$A$40,0),MATCH(L$83,'Billing &amp; Collection'!$4:$4,0))),NA())</f>
        <v>25053499.250000004</v>
      </c>
      <c r="M88" s="100">
        <f>IFERROR(IF($B$4="ALL",INDEX('Billing &amp; Collection'!$41:$41,MATCH(M$83,'Billing &amp; Collection'!$4:$4,0)),INDEX('Billing &amp; Collection'!$37:$40,MATCH($B$4,'Billing &amp; Collection'!$A$37:$A$40,0),MATCH(M$83,'Billing &amp; Collection'!$4:$4,0))),NA())</f>
        <v>25210342.16</v>
      </c>
      <c r="N88" s="100">
        <f>IFERROR(IF($B$4="ALL",INDEX('Billing &amp; Collection'!$41:$41,MATCH(N$83,'Billing &amp; Collection'!$4:$4,0)),INDEX('Billing &amp; Collection'!$37:$40,MATCH($B$4,'Billing &amp; Collection'!$A$37:$A$40,0),MATCH(N$83,'Billing &amp; Collection'!$4:$4,0))),NA())</f>
        <v>26004312.260000002</v>
      </c>
      <c r="O88" s="100">
        <f>IFERROR(IF($B$4="ALL",INDEX('Billing &amp; Collection'!$41:$41,MATCH(O$83,'Billing &amp; Collection'!$4:$4,0)),INDEX('Billing &amp; Collection'!$37:$40,MATCH($B$4,'Billing &amp; Collection'!$A$37:$A$40,0),MATCH(O$83,'Billing &amp; Collection'!$4:$4,0))),NA())</f>
        <v>26310957.890000001</v>
      </c>
      <c r="P88" s="100">
        <f>IFERROR(IF($B$4="ALL",INDEX('Billing &amp; Collection'!$41:$41,MATCH(P$83,'Billing &amp; Collection'!$4:$4,0)),INDEX('Billing &amp; Collection'!$37:$40,MATCH($B$4,'Billing &amp; Collection'!$A$37:$A$40,0),MATCH(P$83,'Billing &amp; Collection'!$4:$4,0))),NA())</f>
        <v>27050344.27</v>
      </c>
      <c r="Q88" s="100">
        <f>IFERROR(IF($B$4="ALL",INDEX('Billing &amp; Collection'!$41:$41,MATCH(Q$83,'Billing &amp; Collection'!$4:$4,0)),INDEX('Billing &amp; Collection'!$37:$40,MATCH($B$4,'Billing &amp; Collection'!$A$37:$A$40,0),MATCH(Q$83,'Billing &amp; Collection'!$4:$4,0))),NA())</f>
        <v>27637190.920000002</v>
      </c>
      <c r="R88" s="100">
        <f>IFERROR(IF($B$4="ALL",INDEX('Billing &amp; Collection'!$41:$41,MATCH(R$83,'Billing &amp; Collection'!$4:$4,0)),INDEX('Billing &amp; Collection'!$37:$40,MATCH($B$4,'Billing &amp; Collection'!$A$37:$A$40,0),MATCH(R$83,'Billing &amp; Collection'!$4:$4,0))),NA())</f>
        <v>28010075.589999996</v>
      </c>
      <c r="S88" s="100">
        <f>IFERROR(IF($B$4="ALL",INDEX('Billing &amp; Collection'!$41:$41,MATCH(S$83,'Billing &amp; Collection'!$4:$4,0)),INDEX('Billing &amp; Collection'!$37:$40,MATCH($B$4,'Billing &amp; Collection'!$A$37:$A$40,0),MATCH(S$83,'Billing &amp; Collection'!$4:$4,0))),NA())</f>
        <v>28935999.359999999</v>
      </c>
      <c r="T88" s="100">
        <f>IFERROR(IF($B$4="ALL",INDEX('Billing &amp; Collection'!$41:$41,MATCH(T$83,'Billing &amp; Collection'!$4:$4,0)),INDEX('Billing &amp; Collection'!$37:$40,MATCH($B$4,'Billing &amp; Collection'!$A$37:$A$40,0),MATCH(T$83,'Billing &amp; Collection'!$4:$4,0))),NA())</f>
        <v>28623481.880000003</v>
      </c>
      <c r="U88" s="100">
        <f>IFERROR(IF($B$4="ALL",INDEX('Billing &amp; Collection'!$41:$41,MATCH(U$83,'Billing &amp; Collection'!$4:$4,0)),INDEX('Billing &amp; Collection'!$37:$40,MATCH($B$4,'Billing &amp; Collection'!$A$37:$A$40,0),MATCH(U$83,'Billing &amp; Collection'!$4:$4,0))),NA())</f>
        <v>29220232.959999997</v>
      </c>
      <c r="V88" s="100">
        <f>IFERROR(IF($B$4="ALL",INDEX('Billing &amp; Collection'!$41:$41,MATCH(V$83,'Billing &amp; Collection'!$4:$4,0)),INDEX('Billing &amp; Collection'!$37:$40,MATCH($B$4,'Billing &amp; Collection'!$A$37:$A$40,0),MATCH(V$83,'Billing &amp; Collection'!$4:$4,0))),NA())</f>
        <v>29740317.41</v>
      </c>
      <c r="W88" s="100">
        <f>IFERROR(IF($B$4="ALL",INDEX('Billing &amp; Collection'!$41:$41,MATCH(W$83,'Billing &amp; Collection'!$4:$4,0)),INDEX('Billing &amp; Collection'!$37:$40,MATCH($B$4,'Billing &amp; Collection'!$A$37:$A$40,0),MATCH(W$83,'Billing &amp; Collection'!$4:$4,0))),NA())</f>
        <v>30085833.18</v>
      </c>
      <c r="X88" s="100">
        <f>IFERROR(IF($B$4="ALL",INDEX('Billing &amp; Collection'!$41:$41,MATCH(X$83,'Billing &amp; Collection'!$4:$4,0)),INDEX('Billing &amp; Collection'!$37:$40,MATCH($B$4,'Billing &amp; Collection'!$A$37:$A$40,0),MATCH(X$83,'Billing &amp; Collection'!$4:$4,0))),NA())</f>
        <v>31314605.550000001</v>
      </c>
      <c r="Y88" s="100">
        <f>IFERROR(IF($B$4="ALL",INDEX('Billing &amp; Collection'!$41:$41,MATCH(Y$83,'Billing &amp; Collection'!$4:$4,0)),INDEX('Billing &amp; Collection'!$37:$40,MATCH($B$4,'Billing &amp; Collection'!$A$37:$A$40,0),MATCH(Y$83,'Billing &amp; Collection'!$4:$4,0))),NA())</f>
        <v>31388235.77</v>
      </c>
      <c r="Z88" s="100">
        <f>IFERROR(IF($B$4="ALL",INDEX('Billing &amp; Collection'!$41:$41,MATCH(Z$83,'Billing &amp; Collection'!$4:$4,0)),INDEX('Billing &amp; Collection'!$37:$40,MATCH($B$4,'Billing &amp; Collection'!$A$37:$A$40,0),MATCH(Z$83,'Billing &amp; Collection'!$4:$4,0))),NA())</f>
        <v>32806895.070000004</v>
      </c>
      <c r="AA88" s="100">
        <f>IFERROR(IF($B$4="ALL",INDEX('Billing &amp; Collection'!$41:$41,MATCH(AA$83,'Billing &amp; Collection'!$4:$4,0)),INDEX('Billing &amp; Collection'!$37:$40,MATCH($B$4,'Billing &amp; Collection'!$A$37:$A$40,0),MATCH(AA$83,'Billing &amp; Collection'!$4:$4,0))),NA())</f>
        <v>33619689.769999996</v>
      </c>
      <c r="AB88" s="100">
        <f>IFERROR(IF($B$4="ALL",INDEX('Billing &amp; Collection'!$41:$41,MATCH(AB$83,'Billing &amp; Collection'!$4:$4,0)),INDEX('Billing &amp; Collection'!$37:$40,MATCH($B$4,'Billing &amp; Collection'!$A$37:$A$40,0),MATCH(AB$83,'Billing &amp; Collection'!$4:$4,0))),NA())</f>
        <v>33976662.379999995</v>
      </c>
      <c r="AC88" s="100" t="e">
        <f>IFERROR(IF($B$4="ALL",INDEX('Billing &amp; Collection'!$41:$41,MATCH(AC$83,'Billing &amp; Collection'!$4:$4,0)),INDEX('Billing &amp; Collection'!$37:$40,MATCH($B$4,'Billing &amp; Collection'!$A$37:$A$40,0),MATCH(AC$83,'Billing &amp; Collection'!$4:$4,0))),NA())</f>
        <v>#N/A</v>
      </c>
      <c r="AD88" s="100" t="e">
        <f>IFERROR(IF($B$4="ALL",INDEX('Billing &amp; Collection'!$41:$41,MATCH(AD$83,'Billing &amp; Collection'!$4:$4,0)),INDEX('Billing &amp; Collection'!$37:$40,MATCH($B$4,'Billing &amp; Collection'!$A$37:$A$40,0),MATCH(AD$83,'Billing &amp; Collection'!$4:$4,0))),NA())</f>
        <v>#N/A</v>
      </c>
      <c r="AE88" s="100" t="e">
        <f>IFERROR(IF($B$4="ALL",INDEX('Billing &amp; Collection'!$41:$41,MATCH(AE$83,'Billing &amp; Collection'!$4:$4,0)),INDEX('Billing &amp; Collection'!$37:$40,MATCH($B$4,'Billing &amp; Collection'!$A$37:$A$40,0),MATCH(AE$83,'Billing &amp; Collection'!$4:$4,0))),NA())</f>
        <v>#N/A</v>
      </c>
      <c r="AF88" s="100" t="e">
        <f>IFERROR(IF($B$4="ALL",INDEX('Billing &amp; Collection'!$41:$41,MATCH(AF$83,'Billing &amp; Collection'!$4:$4,0)),INDEX('Billing &amp; Collection'!$37:$40,MATCH($B$4,'Billing &amp; Collection'!$A$37:$A$40,0),MATCH(AF$83,'Billing &amp; Collection'!$4:$4,0))),NA())</f>
        <v>#N/A</v>
      </c>
      <c r="AG88" s="100" t="e">
        <f>IFERROR(IF($B$4="ALL",INDEX('Billing &amp; Collection'!$41:$41,MATCH(AG$83,'Billing &amp; Collection'!$4:$4,0)),INDEX('Billing &amp; Collection'!$37:$40,MATCH($B$4,'Billing &amp; Collection'!$A$37:$A$40,0),MATCH(AG$83,'Billing &amp; Collection'!$4:$4,0))),NA())</f>
        <v>#N/A</v>
      </c>
      <c r="AH88" s="100" t="e">
        <f>IFERROR(IF($B$4="ALL",INDEX('Billing &amp; Collection'!$41:$41,MATCH(AH$83,'Billing &amp; Collection'!$4:$4,0)),INDEX('Billing &amp; Collection'!$37:$40,MATCH($B$4,'Billing &amp; Collection'!$A$37:$A$40,0),MATCH(AH$83,'Billing &amp; Collection'!$4:$4,0))),NA())</f>
        <v>#N/A</v>
      </c>
      <c r="AI88" s="100" t="e">
        <f>IFERROR(IF($B$4="ALL",INDEX('Billing &amp; Collection'!$41:$41,MATCH(AI$83,'Billing &amp; Collection'!$4:$4,0)),INDEX('Billing &amp; Collection'!$37:$40,MATCH($B$4,'Billing &amp; Collection'!$A$37:$A$40,0),MATCH(AI$83,'Billing &amp; Collection'!$4:$4,0))),NA())</f>
        <v>#N/A</v>
      </c>
      <c r="AJ88" s="100" t="e">
        <f>IFERROR(IF($B$4="ALL",INDEX('Billing &amp; Collection'!$41:$41,MATCH(AJ$83,'Billing &amp; Collection'!$4:$4,0)),INDEX('Billing &amp; Collection'!$37:$40,MATCH($B$4,'Billing &amp; Collection'!$A$37:$A$40,0),MATCH(AJ$83,'Billing &amp; Collection'!$4:$4,0))),NA())</f>
        <v>#N/A</v>
      </c>
      <c r="AK88" s="100" t="e">
        <f>IFERROR(IF($B$4="ALL",INDEX('Billing &amp; Collection'!$41:$41,MATCH(AK$83,'Billing &amp; Collection'!$4:$4,0)),INDEX('Billing &amp; Collection'!$37:$40,MATCH($B$4,'Billing &amp; Collection'!$A$37:$A$40,0),MATCH(AK$83,'Billing &amp; Collection'!$4:$4,0))),NA())</f>
        <v>#N/A</v>
      </c>
      <c r="AL88" s="100" t="e">
        <f>IFERROR(IF($B$4="ALL",INDEX('Billing &amp; Collection'!$41:$41,MATCH(AL$83,'Billing &amp; Collection'!$4:$4,0)),INDEX('Billing &amp; Collection'!$37:$40,MATCH($B$4,'Billing &amp; Collection'!$A$37:$A$40,0),MATCH(AL$83,'Billing &amp; Collection'!$4:$4,0))),NA())</f>
        <v>#N/A</v>
      </c>
      <c r="AM88" s="100" t="e">
        <f>IFERROR(IF($B$4="ALL",INDEX('Billing &amp; Collection'!$41:$41,MATCH(AM$83,'Billing &amp; Collection'!$4:$4,0)),INDEX('Billing &amp; Collection'!$37:$40,MATCH($B$4,'Billing &amp; Collection'!$A$37:$A$40,0),MATCH(AM$83,'Billing &amp; Collection'!$4:$4,0))),NA())</f>
        <v>#N/A</v>
      </c>
      <c r="AN88" s="100" t="e">
        <f>IFERROR(IF($B$4="ALL",INDEX('Billing &amp; Collection'!$41:$41,MATCH(AN$83,'Billing &amp; Collection'!$4:$4,0)),INDEX('Billing &amp; Collection'!$37:$40,MATCH($B$4,'Billing &amp; Collection'!$A$37:$A$40,0),MATCH(AN$83,'Billing &amp; Collection'!$4:$4,0))),NA())</f>
        <v>#N/A</v>
      </c>
      <c r="AO88" s="100" t="e">
        <f>IFERROR(IF($B$4="ALL",INDEX('Billing &amp; Collection'!$41:$41,MATCH(AO$83,'Billing &amp; Collection'!$4:$4,0)),INDEX('Billing &amp; Collection'!$37:$40,MATCH($B$4,'Billing &amp; Collection'!$A$37:$A$40,0),MATCH(AO$83,'Billing &amp; Collection'!$4:$4,0))),NA())</f>
        <v>#N/A</v>
      </c>
      <c r="AP88" s="100" t="e">
        <f>IFERROR(IF($B$4="ALL",INDEX('Billing &amp; Collection'!$41:$41,MATCH(AP$83,'Billing &amp; Collection'!$4:$4,0)),INDEX('Billing &amp; Collection'!$37:$40,MATCH($B$4,'Billing &amp; Collection'!$A$37:$A$40,0),MATCH(AP$83,'Billing &amp; Collection'!$4:$4,0))),NA())</f>
        <v>#N/A</v>
      </c>
      <c r="AQ88" s="100" t="e">
        <f>IFERROR(IF($B$4="ALL",INDEX('Billing &amp; Collection'!$41:$41,MATCH(AQ$83,'Billing &amp; Collection'!$4:$4,0)),INDEX('Billing &amp; Collection'!$37:$40,MATCH($B$4,'Billing &amp; Collection'!$A$37:$A$40,0),MATCH(AQ$83,'Billing &amp; Collection'!$4:$4,0))),NA())</f>
        <v>#N/A</v>
      </c>
      <c r="AR88" s="100" t="e">
        <f>IFERROR(IF($B$4="ALL",INDEX('Billing &amp; Collection'!$41:$41,MATCH(AR$83,'Billing &amp; Collection'!$4:$4,0)),INDEX('Billing &amp; Collection'!$37:$40,MATCH($B$4,'Billing &amp; Collection'!$A$37:$A$40,0),MATCH(AR$83,'Billing &amp; Collection'!$4:$4,0))),NA())</f>
        <v>#N/A</v>
      </c>
      <c r="AS88" s="100" t="e">
        <f>IFERROR(IF($B$4="ALL",INDEX('Billing &amp; Collection'!$41:$41,MATCH(AS$83,'Billing &amp; Collection'!$4:$4,0)),INDEX('Billing &amp; Collection'!$37:$40,MATCH($B$4,'Billing &amp; Collection'!$A$37:$A$40,0),MATCH(AS$83,'Billing &amp; Collection'!$4:$4,0))),NA())</f>
        <v>#N/A</v>
      </c>
      <c r="AT88" s="100" t="e">
        <f>IFERROR(IF($B$4="ALL",INDEX('Billing &amp; Collection'!$41:$41,MATCH(AT$83,'Billing &amp; Collection'!$4:$4,0)),INDEX('Billing &amp; Collection'!$37:$40,MATCH($B$4,'Billing &amp; Collection'!$A$37:$A$40,0),MATCH(AT$83,'Billing &amp; Collection'!$4:$4,0))),NA())</f>
        <v>#N/A</v>
      </c>
      <c r="AU88" s="100" t="e">
        <f>IFERROR(IF($B$4="ALL",INDEX('Billing &amp; Collection'!$41:$41,MATCH(AU$83,'Billing &amp; Collection'!$4:$4,0)),INDEX('Billing &amp; Collection'!$37:$40,MATCH($B$4,'Billing &amp; Collection'!$A$37:$A$40,0),MATCH(AU$83,'Billing &amp; Collection'!$4:$4,0))),NA())</f>
        <v>#N/A</v>
      </c>
      <c r="AV88" s="100" t="e">
        <f>IFERROR(IF($B$4="ALL",INDEX('Billing &amp; Collection'!$41:$41,MATCH(AV$83,'Billing &amp; Collection'!$4:$4,0)),INDEX('Billing &amp; Collection'!$37:$40,MATCH($B$4,'Billing &amp; Collection'!$A$37:$A$40,0),MATCH(AV$83,'Billing &amp; Collection'!$4:$4,0))),NA())</f>
        <v>#N/A</v>
      </c>
      <c r="AW88" s="100" t="e">
        <f>IFERROR(IF($B$4="ALL",INDEX('Billing &amp; Collection'!$41:$41,MATCH(AW$83,'Billing &amp; Collection'!$4:$4,0)),INDEX('Billing &amp; Collection'!$37:$40,MATCH($B$4,'Billing &amp; Collection'!$A$37:$A$40,0),MATCH(AW$83,'Billing &amp; Collection'!$4:$4,0))),NA())</f>
        <v>#N/A</v>
      </c>
    </row>
    <row r="89" spans="1:49" outlineLevel="1" x14ac:dyDescent="0.25">
      <c r="A89" s="98" t="s">
        <v>20</v>
      </c>
      <c r="B89" s="101">
        <f>IFERROR(IF($B$4="ALL",INDEX(NRW!$32:$32,MATCH(B$83,NRW!$27:$27,0)),INDEX(NRW!$28:$31,MATCH($B$4,NRW!$A$28:$A$31,0),MATCH(B$83,NRW!$27:$27,0))),NA())</f>
        <v>0.43949536809534634</v>
      </c>
      <c r="C89" s="101">
        <f>IFERROR(IF($B$4="ALL",INDEX(NRW!$32:$32,MATCH(C$83,NRW!$27:$27,0)),INDEX(NRW!$28:$31,MATCH($B$4,NRW!$A$28:$A$31,0),MATCH(C$83,NRW!$27:$27,0))),NA())</f>
        <v>0.44146085328130358</v>
      </c>
      <c r="D89" s="101">
        <f>IFERROR(IF($B$4="ALL",INDEX(NRW!$32:$32,MATCH(D$83,NRW!$27:$27,0)),INDEX(NRW!$28:$31,MATCH($B$4,NRW!$A$28:$A$31,0),MATCH(D$83,NRW!$27:$27,0))),NA())</f>
        <v>0.5028710394453092</v>
      </c>
      <c r="E89" s="101">
        <f>IFERROR(IF($B$4="ALL",INDEX(NRW!$32:$32,MATCH(E$83,NRW!$27:$27,0)),INDEX(NRW!$28:$31,MATCH($B$4,NRW!$A$28:$A$31,0),MATCH(E$83,NRW!$27:$27,0))),NA())</f>
        <v>0.44121393168973361</v>
      </c>
      <c r="F89" s="101">
        <f>IFERROR(IF($B$4="ALL",INDEX(NRW!$32:$32,MATCH(F$83,NRW!$27:$27,0)),INDEX(NRW!$28:$31,MATCH($B$4,NRW!$A$28:$A$31,0),MATCH(F$83,NRW!$27:$27,0))),NA())</f>
        <v>0.48726963064882461</v>
      </c>
      <c r="G89" s="101">
        <f>IFERROR(IF($B$4="ALL",INDEX(NRW!$32:$32,MATCH(G$83,NRW!$27:$27,0)),INDEX(NRW!$28:$31,MATCH($B$4,NRW!$A$28:$A$31,0),MATCH(G$83,NRW!$27:$27,0))),NA())</f>
        <v>0.46424281817124252</v>
      </c>
      <c r="H89" s="101">
        <f>IFERROR(IF($B$4="ALL",INDEX(NRW!$32:$32,MATCH(H$83,NRW!$27:$27,0)),INDEX(NRW!$28:$31,MATCH($B$4,NRW!$A$28:$A$31,0),MATCH(H$83,NRW!$27:$27,0))),NA())</f>
        <v>0.52105108898769503</v>
      </c>
      <c r="I89" s="101">
        <f>IFERROR(IF($B$4="ALL",INDEX(NRW!$32:$32,MATCH(I$83,NRW!$27:$27,0)),INDEX(NRW!$28:$31,MATCH($B$4,NRW!$A$28:$A$31,0),MATCH(I$83,NRW!$27:$27,0))),NA())</f>
        <v>0.43875582773922195</v>
      </c>
      <c r="J89" s="101">
        <f>IFERROR(IF($B$4="ALL",INDEX(NRW!$32:$32,MATCH(J$83,NRW!$27:$27,0)),INDEX(NRW!$28:$31,MATCH($B$4,NRW!$A$28:$A$31,0),MATCH(J$83,NRW!$27:$27,0))),NA())</f>
        <v>0.5193389289295266</v>
      </c>
      <c r="K89" s="101">
        <f>IFERROR(IF($B$4="ALL",INDEX(NRW!$32:$32,MATCH(K$83,NRW!$27:$27,0)),INDEX(NRW!$28:$31,MATCH($B$4,NRW!$A$28:$A$31,0),MATCH(K$83,NRW!$27:$27,0))),NA())</f>
        <v>0.50677697244459685</v>
      </c>
      <c r="L89" s="101">
        <f>IFERROR(IF($B$4="ALL",INDEX(NRW!$32:$32,MATCH(L$83,NRW!$27:$27,0)),INDEX(NRW!$28:$31,MATCH($B$4,NRW!$A$28:$A$31,0),MATCH(L$83,NRW!$27:$27,0))),NA())</f>
        <v>0.50294504210243773</v>
      </c>
      <c r="M89" s="101">
        <f>IFERROR(IF($B$4="ALL",INDEX(NRW!$32:$32,MATCH(M$83,NRW!$27:$27,0)),INDEX(NRW!$28:$31,MATCH($B$4,NRW!$A$28:$A$31,0),MATCH(M$83,NRW!$27:$27,0))),NA())</f>
        <v>0.53077622522816381</v>
      </c>
      <c r="N89" s="101">
        <f>IFERROR(IF($B$4="ALL",INDEX(NRW!$32:$32,MATCH(N$83,NRW!$27:$27,0)),INDEX(NRW!$28:$31,MATCH($B$4,NRW!$A$28:$A$31,0),MATCH(N$83,NRW!$27:$27,0))),NA())</f>
        <v>0.44007526413722897</v>
      </c>
      <c r="O89" s="101">
        <f>IFERROR(IF($B$4="ALL",INDEX(NRW!$32:$32,MATCH(O$83,NRW!$27:$27,0)),INDEX(NRW!$28:$31,MATCH($B$4,NRW!$A$28:$A$31,0),MATCH(O$83,NRW!$27:$27,0))),NA())</f>
        <v>0.50273364460010905</v>
      </c>
      <c r="P89" s="101">
        <f>IFERROR(IF($B$4="ALL",INDEX(NRW!$32:$32,MATCH(P$83,NRW!$27:$27,0)),INDEX(NRW!$28:$31,MATCH($B$4,NRW!$A$28:$A$31,0),MATCH(P$83,NRW!$27:$27,0))),NA())</f>
        <v>0.51227889815710803</v>
      </c>
      <c r="Q89" s="101">
        <f>IFERROR(IF($B$4="ALL",INDEX(NRW!$32:$32,MATCH(Q$83,NRW!$27:$27,0)),INDEX(NRW!$28:$31,MATCH($B$4,NRW!$A$28:$A$31,0),MATCH(Q$83,NRW!$27:$27,0))),NA())</f>
        <v>0.51744138350295499</v>
      </c>
      <c r="R89" s="101">
        <f>IFERROR(IF($B$4="ALL",INDEX(NRW!$32:$32,MATCH(R$83,NRW!$27:$27,0)),INDEX(NRW!$28:$31,MATCH($B$4,NRW!$A$28:$A$31,0),MATCH(R$83,NRW!$27:$27,0))),NA())</f>
        <v>0.49230266553119167</v>
      </c>
      <c r="S89" s="101">
        <f>IFERROR(IF($B$4="ALL",INDEX(NRW!$32:$32,MATCH(S$83,NRW!$27:$27,0)),INDEX(NRW!$28:$31,MATCH($B$4,NRW!$A$28:$A$31,0),MATCH(S$83,NRW!$27:$27,0))),NA())</f>
        <v>0.48782849979841214</v>
      </c>
      <c r="T89" s="101">
        <f>IFERROR(IF($B$4="ALL",INDEX(NRW!$32:$32,MATCH(T$83,NRW!$27:$27,0)),INDEX(NRW!$28:$31,MATCH($B$4,NRW!$A$28:$A$31,0),MATCH(T$83,NRW!$27:$27,0))),NA())</f>
        <v>0.4714462139036309</v>
      </c>
      <c r="U89" s="101">
        <f>IFERROR(IF($B$4="ALL",INDEX(NRW!$32:$32,MATCH(U$83,NRW!$27:$27,0)),INDEX(NRW!$28:$31,MATCH($B$4,NRW!$A$28:$A$31,0),MATCH(U$83,NRW!$27:$27,0))),NA())</f>
        <v>0.55365342067306444</v>
      </c>
      <c r="V89" s="101">
        <f>IFERROR(IF($B$4="ALL",INDEX(NRW!$32:$32,MATCH(V$83,NRW!$27:$27,0)),INDEX(NRW!$28:$31,MATCH($B$4,NRW!$A$28:$A$31,0),MATCH(V$83,NRW!$27:$27,0))),NA())</f>
        <v>0.45471243376622383</v>
      </c>
      <c r="W89" s="101">
        <f>IFERROR(IF($B$4="ALL",INDEX(NRW!$32:$32,MATCH(W$83,NRW!$27:$27,0)),INDEX(NRW!$28:$31,MATCH($B$4,NRW!$A$28:$A$31,0),MATCH(W$83,NRW!$27:$27,0))),NA())</f>
        <v>0.41881772101158643</v>
      </c>
      <c r="X89" s="101">
        <f>IFERROR(IF($B$4="ALL",INDEX(NRW!$32:$32,MATCH(X$83,NRW!$27:$27,0)),INDEX(NRW!$28:$31,MATCH($B$4,NRW!$A$28:$A$31,0),MATCH(X$83,NRW!$27:$27,0))),NA())</f>
        <v>0.42914142746071154</v>
      </c>
      <c r="Y89" s="101">
        <f>IFERROR(IF($B$4="ALL",INDEX(NRW!$32:$32,MATCH(Y$83,NRW!$27:$27,0)),INDEX(NRW!$28:$31,MATCH($B$4,NRW!$A$28:$A$31,0),MATCH(Y$83,NRW!$27:$27,0))),NA())</f>
        <v>0.47311440687645984</v>
      </c>
      <c r="Z89" s="101">
        <f>IFERROR(IF($B$4="ALL",INDEX(NRW!$32:$32,MATCH(Z$83,NRW!$27:$27,0)),INDEX(NRW!$28:$31,MATCH($B$4,NRW!$A$28:$A$31,0),MATCH(Z$83,NRW!$27:$27,0))),NA())</f>
        <v>0.43799031967541152</v>
      </c>
      <c r="AA89" s="101">
        <f>IFERROR(IF($B$4="ALL",INDEX(NRW!$32:$32,MATCH(AA$83,NRW!$27:$27,0)),INDEX(NRW!$28:$31,MATCH($B$4,NRW!$A$28:$A$31,0),MATCH(AA$83,NRW!$27:$27,0))),NA())</f>
        <v>0.40259132705074119</v>
      </c>
      <c r="AB89" s="101">
        <f>IFERROR(IF($B$4="ALL",INDEX(NRW!$32:$32,MATCH(AB$83,NRW!$27:$27,0)),INDEX(NRW!$28:$31,MATCH($B$4,NRW!$A$28:$A$31,0),MATCH(AB$83,NRW!$27:$27,0))),NA())</f>
        <v>0.4952538448826671</v>
      </c>
      <c r="AC89" s="101" t="e">
        <f>IFERROR(IF($B$4="ALL",INDEX(NRW!$32:$32,MATCH(AC$83,NRW!$27:$27,0)),INDEX(NRW!$28:$31,MATCH($B$4,NRW!$A$28:$A$31,0),MATCH(AC$83,NRW!$27:$27,0))),NA())</f>
        <v>#N/A</v>
      </c>
      <c r="AD89" s="101" t="e">
        <f>IFERROR(IF($B$4="ALL",INDEX(NRW!$32:$32,MATCH(AD$83,NRW!$27:$27,0)),INDEX(NRW!$28:$31,MATCH($B$4,NRW!$A$28:$A$31,0),MATCH(AD$83,NRW!$27:$27,0))),NA())</f>
        <v>#N/A</v>
      </c>
      <c r="AE89" s="101" t="e">
        <f>IFERROR(IF($B$4="ALL",INDEX(NRW!$32:$32,MATCH(AE$83,NRW!$27:$27,0)),INDEX(NRW!$28:$31,MATCH($B$4,NRW!$A$28:$A$31,0),MATCH(AE$83,NRW!$27:$27,0))),NA())</f>
        <v>#N/A</v>
      </c>
      <c r="AF89" s="101" t="e">
        <f>IFERROR(IF($B$4="ALL",INDEX(NRW!$32:$32,MATCH(AF$83,NRW!$27:$27,0)),INDEX(NRW!$28:$31,MATCH($B$4,NRW!$A$28:$A$31,0),MATCH(AF$83,NRW!$27:$27,0))),NA())</f>
        <v>#N/A</v>
      </c>
      <c r="AG89" s="101" t="e">
        <f>IFERROR(IF($B$4="ALL",INDEX(NRW!$32:$32,MATCH(AG$83,NRW!$27:$27,0)),INDEX(NRW!$28:$31,MATCH($B$4,NRW!$A$28:$A$31,0),MATCH(AG$83,NRW!$27:$27,0))),NA())</f>
        <v>#N/A</v>
      </c>
      <c r="AH89" s="101" t="e">
        <f>IFERROR(IF($B$4="ALL",INDEX(NRW!$32:$32,MATCH(AH$83,NRW!$27:$27,0)),INDEX(NRW!$28:$31,MATCH($B$4,NRW!$A$28:$A$31,0),MATCH(AH$83,NRW!$27:$27,0))),NA())</f>
        <v>#N/A</v>
      </c>
      <c r="AI89" s="101" t="e">
        <f>IFERROR(IF($B$4="ALL",INDEX(NRW!$32:$32,MATCH(AI$83,NRW!$27:$27,0)),INDEX(NRW!$28:$31,MATCH($B$4,NRW!$A$28:$A$31,0),MATCH(AI$83,NRW!$27:$27,0))),NA())</f>
        <v>#N/A</v>
      </c>
      <c r="AJ89" s="101" t="e">
        <f>IFERROR(IF($B$4="ALL",INDEX(NRW!$32:$32,MATCH(AJ$83,NRW!$27:$27,0)),INDEX(NRW!$28:$31,MATCH($B$4,NRW!$A$28:$A$31,0),MATCH(AJ$83,NRW!$27:$27,0))),NA())</f>
        <v>#N/A</v>
      </c>
      <c r="AK89" s="101" t="e">
        <f>IFERROR(IF($B$4="ALL",INDEX(NRW!$32:$32,MATCH(AK$83,NRW!$27:$27,0)),INDEX(NRW!$28:$31,MATCH($B$4,NRW!$A$28:$A$31,0),MATCH(AK$83,NRW!$27:$27,0))),NA())</f>
        <v>#N/A</v>
      </c>
      <c r="AL89" s="101" t="e">
        <f>IFERROR(IF($B$4="ALL",INDEX(NRW!$32:$32,MATCH(AL$83,NRW!$27:$27,0)),INDEX(NRW!$28:$31,MATCH($B$4,NRW!$A$28:$A$31,0),MATCH(AL$83,NRW!$27:$27,0))),NA())</f>
        <v>#N/A</v>
      </c>
      <c r="AM89" s="101" t="e">
        <f>IFERROR(IF($B$4="ALL",INDEX(NRW!$32:$32,MATCH(AM$83,NRW!$27:$27,0)),INDEX(NRW!$28:$31,MATCH($B$4,NRW!$A$28:$A$31,0),MATCH(AM$83,NRW!$27:$27,0))),NA())</f>
        <v>#N/A</v>
      </c>
      <c r="AN89" s="101" t="e">
        <f>IFERROR(IF($B$4="ALL",INDEX(NRW!$32:$32,MATCH(AN$83,NRW!$27:$27,0)),INDEX(NRW!$28:$31,MATCH($B$4,NRW!$A$28:$A$31,0),MATCH(AN$83,NRW!$27:$27,0))),NA())</f>
        <v>#N/A</v>
      </c>
      <c r="AO89" s="101" t="e">
        <f>IFERROR(IF($B$4="ALL",INDEX(NRW!$32:$32,MATCH(AO$83,NRW!$27:$27,0)),INDEX(NRW!$28:$31,MATCH($B$4,NRW!$A$28:$A$31,0),MATCH(AO$83,NRW!$27:$27,0))),NA())</f>
        <v>#N/A</v>
      </c>
      <c r="AP89" s="101" t="e">
        <f>IFERROR(IF($B$4="ALL",INDEX(NRW!$32:$32,MATCH(AP$83,NRW!$27:$27,0)),INDEX(NRW!$28:$31,MATCH($B$4,NRW!$A$28:$A$31,0),MATCH(AP$83,NRW!$27:$27,0))),NA())</f>
        <v>#N/A</v>
      </c>
      <c r="AQ89" s="101" t="e">
        <f>IFERROR(IF($B$4="ALL",INDEX(NRW!$32:$32,MATCH(AQ$83,NRW!$27:$27,0)),INDEX(NRW!$28:$31,MATCH($B$4,NRW!$A$28:$A$31,0),MATCH(AQ$83,NRW!$27:$27,0))),NA())</f>
        <v>#N/A</v>
      </c>
      <c r="AR89" s="101" t="e">
        <f>IFERROR(IF($B$4="ALL",INDEX(NRW!$32:$32,MATCH(AR$83,NRW!$27:$27,0)),INDEX(NRW!$28:$31,MATCH($B$4,NRW!$A$28:$A$31,0),MATCH(AR$83,NRW!$27:$27,0))),NA())</f>
        <v>#N/A</v>
      </c>
      <c r="AS89" s="101" t="e">
        <f>IFERROR(IF($B$4="ALL",INDEX(NRW!$32:$32,MATCH(AS$83,NRW!$27:$27,0)),INDEX(NRW!$28:$31,MATCH($B$4,NRW!$A$28:$A$31,0),MATCH(AS$83,NRW!$27:$27,0))),NA())</f>
        <v>#N/A</v>
      </c>
      <c r="AT89" s="101" t="e">
        <f>IFERROR(IF($B$4="ALL",INDEX(NRW!$32:$32,MATCH(AT$83,NRW!$27:$27,0)),INDEX(NRW!$28:$31,MATCH($B$4,NRW!$A$28:$A$31,0),MATCH(AT$83,NRW!$27:$27,0))),NA())</f>
        <v>#N/A</v>
      </c>
      <c r="AU89" s="101" t="e">
        <f>IFERROR(IF($B$4="ALL",INDEX(NRW!$32:$32,MATCH(AU$83,NRW!$27:$27,0)),INDEX(NRW!$28:$31,MATCH($B$4,NRW!$A$28:$A$31,0),MATCH(AU$83,NRW!$27:$27,0))),NA())</f>
        <v>#N/A</v>
      </c>
      <c r="AV89" s="101" t="e">
        <f>IFERROR(IF($B$4="ALL",INDEX(NRW!$32:$32,MATCH(AV$83,NRW!$27:$27,0)),INDEX(NRW!$28:$31,MATCH($B$4,NRW!$A$28:$A$31,0),MATCH(AV$83,NRW!$27:$27,0))),NA())</f>
        <v>#N/A</v>
      </c>
      <c r="AW89" s="101" t="e">
        <f>IFERROR(IF($B$4="ALL",INDEX(NRW!$32:$32,MATCH(AW$83,NRW!$27:$27,0)),INDEX(NRW!$28:$31,MATCH($B$4,NRW!$A$28:$A$31,0),MATCH(AW$83,NRW!$27:$27,0))),NA())</f>
        <v>#N/A</v>
      </c>
    </row>
    <row r="90" spans="1:49" outlineLevel="1" x14ac:dyDescent="0.25">
      <c r="A90" s="98" t="s">
        <v>46</v>
      </c>
      <c r="B90" s="100">
        <f>IFERROR(IF($B$4="ALL",INDEX(Customers!$10:$10,MATCH(B$83,Customers!$5:$5,0)),INDEX(Customers!$6:$9,MATCH($B$4,Customers!$A$6:$A$9,0),MATCH(B$83,Customers!$5:$5,0))),NA())</f>
        <v>21591</v>
      </c>
      <c r="C90" s="100">
        <f>IFERROR(IF($B$4="ALL",INDEX(Customers!$10:$10,MATCH(C$83,Customers!$5:$5,0)),INDEX(Customers!$6:$9,MATCH($B$4,Customers!$A$6:$A$9,0),MATCH(C$83,Customers!$5:$5,0))),NA())</f>
        <v>21633</v>
      </c>
      <c r="D90" s="100">
        <f>IFERROR(IF($B$4="ALL",INDEX(Customers!$10:$10,MATCH(D$83,Customers!$5:$5,0)),INDEX(Customers!$6:$9,MATCH($B$4,Customers!$A$6:$A$9,0),MATCH(D$83,Customers!$5:$5,0))),NA())</f>
        <v>21578</v>
      </c>
      <c r="E90" s="100">
        <f>IFERROR(IF($B$4="ALL",INDEX(Customers!$10:$10,MATCH(E$83,Customers!$5:$5,0)),INDEX(Customers!$6:$9,MATCH($B$4,Customers!$A$6:$A$9,0),MATCH(E$83,Customers!$5:$5,0))),NA())</f>
        <v>21727</v>
      </c>
      <c r="F90" s="100">
        <f>IFERROR(IF($B$4="ALL",INDEX(Customers!$10:$10,MATCH(F$83,Customers!$5:$5,0)),INDEX(Customers!$6:$9,MATCH($B$4,Customers!$A$6:$A$9,0),MATCH(F$83,Customers!$5:$5,0))),NA())</f>
        <v>21799</v>
      </c>
      <c r="G90" s="100">
        <f>IFERROR(IF($B$4="ALL",INDEX(Customers!$10:$10,MATCH(G$83,Customers!$5:$5,0)),INDEX(Customers!$6:$9,MATCH($B$4,Customers!$A$6:$A$9,0),MATCH(G$83,Customers!$5:$5,0))),NA())</f>
        <v>21930</v>
      </c>
      <c r="H90" s="100">
        <f>IFERROR(IF($B$4="ALL",INDEX(Customers!$10:$10,MATCH(H$83,Customers!$5:$5,0)),INDEX(Customers!$6:$9,MATCH($B$4,Customers!$A$6:$A$9,0),MATCH(H$83,Customers!$5:$5,0))),NA())</f>
        <v>22007</v>
      </c>
      <c r="I90" s="100">
        <f>IFERROR(IF($B$4="ALL",INDEX(Customers!$10:$10,MATCH(I$83,Customers!$5:$5,0)),INDEX(Customers!$6:$9,MATCH($B$4,Customers!$A$6:$A$9,0),MATCH(I$83,Customers!$5:$5,0))),NA())</f>
        <v>22042</v>
      </c>
      <c r="J90" s="100">
        <f>IFERROR(IF($B$4="ALL",INDEX(Customers!$10:$10,MATCH(J$83,Customers!$5:$5,0)),INDEX(Customers!$6:$9,MATCH($B$4,Customers!$A$6:$A$9,0),MATCH(J$83,Customers!$5:$5,0))),NA())</f>
        <v>22066</v>
      </c>
      <c r="K90" s="100">
        <f>IFERROR(IF($B$4="ALL",INDEX(Customers!$10:$10,MATCH(K$83,Customers!$5:$5,0)),INDEX(Customers!$6:$9,MATCH($B$4,Customers!$A$6:$A$9,0),MATCH(K$83,Customers!$5:$5,0))),NA())</f>
        <v>22153</v>
      </c>
      <c r="L90" s="100">
        <f>IFERROR(IF($B$4="ALL",INDEX(Customers!$10:$10,MATCH(L$83,Customers!$5:$5,0)),INDEX(Customers!$6:$9,MATCH($B$4,Customers!$A$6:$A$9,0),MATCH(L$83,Customers!$5:$5,0))),NA())</f>
        <v>22154</v>
      </c>
      <c r="M90" s="100">
        <f>IFERROR(IF($B$4="ALL",INDEX(Customers!$10:$10,MATCH(M$83,Customers!$5:$5,0)),INDEX(Customers!$6:$9,MATCH($B$4,Customers!$A$6:$A$9,0),MATCH(M$83,Customers!$5:$5,0))),NA())</f>
        <v>22260</v>
      </c>
      <c r="N90" s="100">
        <f>IFERROR(IF($B$4="ALL",INDEX(Customers!$10:$10,MATCH(N$83,Customers!$5:$5,0)),INDEX(Customers!$6:$9,MATCH($B$4,Customers!$A$6:$A$9,0),MATCH(N$83,Customers!$5:$5,0))),NA())</f>
        <v>22410</v>
      </c>
      <c r="O90" s="100">
        <f>IFERROR(IF($B$4="ALL",INDEX(Customers!$10:$10,MATCH(O$83,Customers!$5:$5,0)),INDEX(Customers!$6:$9,MATCH($B$4,Customers!$A$6:$A$9,0),MATCH(O$83,Customers!$5:$5,0))),NA())</f>
        <v>22480</v>
      </c>
      <c r="P90" s="100">
        <f>IFERROR(IF($B$4="ALL",INDEX(Customers!$10:$10,MATCH(P$83,Customers!$5:$5,0)),INDEX(Customers!$6:$9,MATCH($B$4,Customers!$A$6:$A$9,0),MATCH(P$83,Customers!$5:$5,0))),NA())</f>
        <v>22564</v>
      </c>
      <c r="Q90" s="100">
        <f>IFERROR(IF($B$4="ALL",INDEX(Customers!$10:$10,MATCH(Q$83,Customers!$5:$5,0)),INDEX(Customers!$6:$9,MATCH($B$4,Customers!$A$6:$A$9,0),MATCH(Q$83,Customers!$5:$5,0))),NA())</f>
        <v>22643</v>
      </c>
      <c r="R90" s="100">
        <f>IFERROR(IF($B$4="ALL",INDEX(Customers!$10:$10,MATCH(R$83,Customers!$5:$5,0)),INDEX(Customers!$6:$9,MATCH($B$4,Customers!$A$6:$A$9,0),MATCH(R$83,Customers!$5:$5,0))),NA())</f>
        <v>22680</v>
      </c>
      <c r="S90" s="100">
        <f>IFERROR(IF($B$4="ALL",INDEX(Customers!$10:$10,MATCH(S$83,Customers!$5:$5,0)),INDEX(Customers!$6:$9,MATCH($B$4,Customers!$A$6:$A$9,0),MATCH(S$83,Customers!$5:$5,0))),NA())</f>
        <v>22708</v>
      </c>
      <c r="T90" s="100">
        <f>IFERROR(IF($B$4="ALL",INDEX(Customers!$10:$10,MATCH(T$83,Customers!$5:$5,0)),INDEX(Customers!$6:$9,MATCH($B$4,Customers!$A$6:$A$9,0),MATCH(T$83,Customers!$5:$5,0))),NA())</f>
        <v>22862</v>
      </c>
      <c r="U90" s="100">
        <f>IFERROR(IF($B$4="ALL",INDEX(Customers!$10:$10,MATCH(U$83,Customers!$5:$5,0)),INDEX(Customers!$6:$9,MATCH($B$4,Customers!$A$6:$A$9,0),MATCH(U$83,Customers!$5:$5,0))),NA())</f>
        <v>22893</v>
      </c>
      <c r="V90" s="100">
        <f>IFERROR(IF($B$4="ALL",INDEX(Customers!$10:$10,MATCH(V$83,Customers!$5:$5,0)),INDEX(Customers!$6:$9,MATCH($B$4,Customers!$A$6:$A$9,0),MATCH(V$83,Customers!$5:$5,0))),NA())</f>
        <v>22961</v>
      </c>
      <c r="W90" s="100">
        <f>IFERROR(IF($B$4="ALL",INDEX(Customers!$10:$10,MATCH(W$83,Customers!$5:$5,0)),INDEX(Customers!$6:$9,MATCH($B$4,Customers!$A$6:$A$9,0),MATCH(W$83,Customers!$5:$5,0))),NA())</f>
        <v>23043</v>
      </c>
      <c r="X90" s="100">
        <f>IFERROR(IF($B$4="ALL",INDEX(Customers!$10:$10,MATCH(X$83,Customers!$5:$5,0)),INDEX(Customers!$6:$9,MATCH($B$4,Customers!$A$6:$A$9,0),MATCH(X$83,Customers!$5:$5,0))),NA())</f>
        <v>23133</v>
      </c>
      <c r="Y90" s="100">
        <f>IFERROR(IF($B$4="ALL",INDEX(Customers!$10:$10,MATCH(Y$83,Customers!$5:$5,0)),INDEX(Customers!$6:$9,MATCH($B$4,Customers!$A$6:$A$9,0),MATCH(Y$83,Customers!$5:$5,0))),NA())</f>
        <v>23224</v>
      </c>
      <c r="Z90" s="100">
        <f>IFERROR(IF($B$4="ALL",INDEX(Customers!$10:$10,MATCH(Z$83,Customers!$5:$5,0)),INDEX(Customers!$6:$9,MATCH($B$4,Customers!$A$6:$A$9,0),MATCH(Z$83,Customers!$5:$5,0))),NA())</f>
        <v>23310</v>
      </c>
      <c r="AA90" s="100">
        <f>IFERROR(IF($B$4="ALL",INDEX(Customers!$10:$10,MATCH(AA$83,Customers!$5:$5,0)),INDEX(Customers!$6:$9,MATCH($B$4,Customers!$A$6:$A$9,0),MATCH(AA$83,Customers!$5:$5,0))),NA())</f>
        <v>23410</v>
      </c>
      <c r="AB90" s="100">
        <f>IFERROR(IF($B$4="ALL",INDEX(Customers!$10:$10,MATCH(AB$83,Customers!$5:$5,0)),INDEX(Customers!$6:$9,MATCH($B$4,Customers!$A$6:$A$9,0),MATCH(AB$83,Customers!$5:$5,0))),NA())</f>
        <v>23498</v>
      </c>
      <c r="AC90" s="100" t="e">
        <f>IFERROR(IF($B$4="ALL",INDEX(Customers!$10:$10,MATCH(AC$83,Customers!$5:$5,0)),INDEX(Customers!$6:$9,MATCH($B$4,Customers!$A$6:$A$9,0),MATCH(AC$83,Customers!$5:$5,0))),NA())</f>
        <v>#N/A</v>
      </c>
      <c r="AD90" s="100" t="e">
        <f>IFERROR(IF($B$4="ALL",INDEX(Customers!$10:$10,MATCH(AD$83,Customers!$5:$5,0)),INDEX(Customers!$6:$9,MATCH($B$4,Customers!$A$6:$A$9,0),MATCH(AD$83,Customers!$5:$5,0))),NA())</f>
        <v>#N/A</v>
      </c>
      <c r="AE90" s="100" t="e">
        <f>IFERROR(IF($B$4="ALL",INDEX(Customers!$10:$10,MATCH(AE$83,Customers!$5:$5,0)),INDEX(Customers!$6:$9,MATCH($B$4,Customers!$A$6:$A$9,0),MATCH(AE$83,Customers!$5:$5,0))),NA())</f>
        <v>#N/A</v>
      </c>
      <c r="AF90" s="100" t="e">
        <f>IFERROR(IF($B$4="ALL",INDEX(Customers!$10:$10,MATCH(AF$83,Customers!$5:$5,0)),INDEX(Customers!$6:$9,MATCH($B$4,Customers!$A$6:$A$9,0),MATCH(AF$83,Customers!$5:$5,0))),NA())</f>
        <v>#N/A</v>
      </c>
      <c r="AG90" s="100" t="e">
        <f>IFERROR(IF($B$4="ALL",INDEX(Customers!$10:$10,MATCH(AG$83,Customers!$5:$5,0)),INDEX(Customers!$6:$9,MATCH($B$4,Customers!$A$6:$A$9,0),MATCH(AG$83,Customers!$5:$5,0))),NA())</f>
        <v>#N/A</v>
      </c>
      <c r="AH90" s="100" t="e">
        <f>IFERROR(IF($B$4="ALL",INDEX(Customers!$10:$10,MATCH(AH$83,Customers!$5:$5,0)),INDEX(Customers!$6:$9,MATCH($B$4,Customers!$A$6:$A$9,0),MATCH(AH$83,Customers!$5:$5,0))),NA())</f>
        <v>#N/A</v>
      </c>
      <c r="AI90" s="100" t="e">
        <f>IFERROR(IF($B$4="ALL",INDEX(Customers!$10:$10,MATCH(AI$83,Customers!$5:$5,0)),INDEX(Customers!$6:$9,MATCH($B$4,Customers!$A$6:$A$9,0),MATCH(AI$83,Customers!$5:$5,0))),NA())</f>
        <v>#N/A</v>
      </c>
      <c r="AJ90" s="100" t="e">
        <f>IFERROR(IF($B$4="ALL",INDEX(Customers!$10:$10,MATCH(AJ$83,Customers!$5:$5,0)),INDEX(Customers!$6:$9,MATCH($B$4,Customers!$A$6:$A$9,0),MATCH(AJ$83,Customers!$5:$5,0))),NA())</f>
        <v>#N/A</v>
      </c>
      <c r="AK90" s="100" t="e">
        <f>IFERROR(IF($B$4="ALL",INDEX(Customers!$10:$10,MATCH(AK$83,Customers!$5:$5,0)),INDEX(Customers!$6:$9,MATCH($B$4,Customers!$A$6:$A$9,0),MATCH(AK$83,Customers!$5:$5,0))),NA())</f>
        <v>#N/A</v>
      </c>
      <c r="AL90" s="100" t="e">
        <f>IFERROR(IF($B$4="ALL",INDEX(Customers!$10:$10,MATCH(AL$83,Customers!$5:$5,0)),INDEX(Customers!$6:$9,MATCH($B$4,Customers!$A$6:$A$9,0),MATCH(AL$83,Customers!$5:$5,0))),NA())</f>
        <v>#N/A</v>
      </c>
      <c r="AM90" s="100" t="e">
        <f>IFERROR(IF($B$4="ALL",INDEX(Customers!$10:$10,MATCH(AM$83,Customers!$5:$5,0)),INDEX(Customers!$6:$9,MATCH($B$4,Customers!$A$6:$A$9,0),MATCH(AM$83,Customers!$5:$5,0))),NA())</f>
        <v>#N/A</v>
      </c>
      <c r="AN90" s="100" t="e">
        <f>IFERROR(IF($B$4="ALL",INDEX(Customers!$10:$10,MATCH(AN$83,Customers!$5:$5,0)),INDEX(Customers!$6:$9,MATCH($B$4,Customers!$A$6:$A$9,0),MATCH(AN$83,Customers!$5:$5,0))),NA())</f>
        <v>#N/A</v>
      </c>
      <c r="AO90" s="100" t="e">
        <f>IFERROR(IF($B$4="ALL",INDEX(Customers!$10:$10,MATCH(AO$83,Customers!$5:$5,0)),INDEX(Customers!$6:$9,MATCH($B$4,Customers!$A$6:$A$9,0),MATCH(AO$83,Customers!$5:$5,0))),NA())</f>
        <v>#N/A</v>
      </c>
      <c r="AP90" s="100" t="e">
        <f>IFERROR(IF($B$4="ALL",INDEX(Customers!$10:$10,MATCH(AP$83,Customers!$5:$5,0)),INDEX(Customers!$6:$9,MATCH($B$4,Customers!$A$6:$A$9,0),MATCH(AP$83,Customers!$5:$5,0))),NA())</f>
        <v>#N/A</v>
      </c>
      <c r="AQ90" s="100" t="e">
        <f>IFERROR(IF($B$4="ALL",INDEX(Customers!$10:$10,MATCH(AQ$83,Customers!$5:$5,0)),INDEX(Customers!$6:$9,MATCH($B$4,Customers!$A$6:$A$9,0),MATCH(AQ$83,Customers!$5:$5,0))),NA())</f>
        <v>#N/A</v>
      </c>
      <c r="AR90" s="100" t="e">
        <f>IFERROR(IF($B$4="ALL",INDEX(Customers!$10:$10,MATCH(AR$83,Customers!$5:$5,0)),INDEX(Customers!$6:$9,MATCH($B$4,Customers!$A$6:$A$9,0),MATCH(AR$83,Customers!$5:$5,0))),NA())</f>
        <v>#N/A</v>
      </c>
      <c r="AS90" s="100" t="e">
        <f>IFERROR(IF($B$4="ALL",INDEX(Customers!$10:$10,MATCH(AS$83,Customers!$5:$5,0)),INDEX(Customers!$6:$9,MATCH($B$4,Customers!$A$6:$A$9,0),MATCH(AS$83,Customers!$5:$5,0))),NA())</f>
        <v>#N/A</v>
      </c>
      <c r="AT90" s="100" t="e">
        <f>IFERROR(IF($B$4="ALL",INDEX(Customers!$10:$10,MATCH(AT$83,Customers!$5:$5,0)),INDEX(Customers!$6:$9,MATCH($B$4,Customers!$A$6:$A$9,0),MATCH(AT$83,Customers!$5:$5,0))),NA())</f>
        <v>#N/A</v>
      </c>
      <c r="AU90" s="100" t="e">
        <f>IFERROR(IF($B$4="ALL",INDEX(Customers!$10:$10,MATCH(AU$83,Customers!$5:$5,0)),INDEX(Customers!$6:$9,MATCH($B$4,Customers!$A$6:$A$9,0),MATCH(AU$83,Customers!$5:$5,0))),NA())</f>
        <v>#N/A</v>
      </c>
      <c r="AV90" s="100" t="e">
        <f>IFERROR(IF($B$4="ALL",INDEX(Customers!$10:$10,MATCH(AV$83,Customers!$5:$5,0)),INDEX(Customers!$6:$9,MATCH($B$4,Customers!$A$6:$A$9,0),MATCH(AV$83,Customers!$5:$5,0))),NA())</f>
        <v>#N/A</v>
      </c>
      <c r="AW90" s="100" t="e">
        <f>IFERROR(IF($B$4="ALL",INDEX(Customers!$10:$10,MATCH(AW$83,Customers!$5:$5,0)),INDEX(Customers!$6:$9,MATCH($B$4,Customers!$A$6:$A$9,0),MATCH(AW$83,Customers!$5:$5,0))),NA())</f>
        <v>#N/A</v>
      </c>
    </row>
    <row r="92" spans="1:49" x14ac:dyDescent="0.25">
      <c r="A92" s="102" t="s">
        <v>48</v>
      </c>
    </row>
    <row r="93" spans="1:49" x14ac:dyDescent="0.25">
      <c r="A93" s="98" t="s">
        <v>40</v>
      </c>
      <c r="B93" s="99" t="e" cm="1">
        <f t="array" ref="B93">IF(ISNA(B$84),NA(),IF($D$4="All",B$83,IF(TEXT($D$4,"0")="2024",IF(YEAR(B$83)=2024,B$83,NA()),IF(TEXT($D$4,"0")="2025",IF(YEAR(B$83)=2025,B$83,NA()),IF($D$4="2026 YTD",IF(YEAR(B$83)=2026,B$83,NA()),IF($D$4="Last 6 months",IF(B$83&gt;=EDATE(MAX(IF(NOT(ISNA($B$84:$AW$84)),$B$83:$AW$83)),-5),B$83,NA()),IF($D$4="Last 12 months",IF(B$83&gt;=EDATE(MAX(IF(NOT(ISNA($B$84:$AW$84)),$B$83:$AW$83)),-11),B$83,NA()),B$83)))))))</f>
        <v>#N/A</v>
      </c>
      <c r="C93" s="99" t="e" cm="1">
        <f t="array" ref="C93">IF(ISNA(C$84),NA(),IF($D$4="All",C$83,IF(TEXT($D$4,"0")="2024",IF(YEAR(C$83)=2024,C$83,NA()),IF(TEXT($D$4,"0")="2025",IF(YEAR(C$83)=2025,C$83,NA()),IF($D$4="2026 YTD",IF(YEAR(C$83)=2026,C$83,NA()),IF($D$4="Last 6 months",IF(C$83&gt;=EDATE(MAX(IF(NOT(ISNA($B$84:$AW$84)),$B$83:$AW$83)),-5),C$83,NA()),IF($D$4="Last 12 months",IF(C$83&gt;=EDATE(MAX(IF(NOT(ISNA($B$84:$AW$84)),$B$83:$AW$83)),-11),C$83,NA()),C$83)))))))</f>
        <v>#N/A</v>
      </c>
      <c r="D93" s="99" t="e" cm="1">
        <f t="array" ref="D93">IF(ISNA(D$84),NA(),IF($D$4="All",D$83,IF(TEXT($D$4,"0")="2024",IF(YEAR(D$83)=2024,D$83,NA()),IF(TEXT($D$4,"0")="2025",IF(YEAR(D$83)=2025,D$83,NA()),IF($D$4="2026 YTD",IF(YEAR(D$83)=2026,D$83,NA()),IF($D$4="Last 6 months",IF(D$83&gt;=EDATE(MAX(IF(NOT(ISNA($B$84:$AW$84)),$B$83:$AW$83)),-5),D$83,NA()),IF($D$4="Last 12 months",IF(D$83&gt;=EDATE(MAX(IF(NOT(ISNA($B$84:$AW$84)),$B$83:$AW$83)),-11),D$83,NA()),D$83)))))))</f>
        <v>#N/A</v>
      </c>
      <c r="E93" s="99" t="e" cm="1">
        <f t="array" ref="E93">IF(ISNA(E$84),NA(),IF($D$4="All",E$83,IF(TEXT($D$4,"0")="2024",IF(YEAR(E$83)=2024,E$83,NA()),IF(TEXT($D$4,"0")="2025",IF(YEAR(E$83)=2025,E$83,NA()),IF($D$4="2026 YTD",IF(YEAR(E$83)=2026,E$83,NA()),IF($D$4="Last 6 months",IF(E$83&gt;=EDATE(MAX(IF(NOT(ISNA($B$84:$AW$84)),$B$83:$AW$83)),-5),E$83,NA()),IF($D$4="Last 12 months",IF(E$83&gt;=EDATE(MAX(IF(NOT(ISNA($B$84:$AW$84)),$B$83:$AW$83)),-11),E$83,NA()),E$83)))))))</f>
        <v>#N/A</v>
      </c>
      <c r="F93" s="99" t="e" cm="1">
        <f t="array" ref="F93">IF(ISNA(F$84),NA(),IF($D$4="All",F$83,IF(TEXT($D$4,"0")="2024",IF(YEAR(F$83)=2024,F$83,NA()),IF(TEXT($D$4,"0")="2025",IF(YEAR(F$83)=2025,F$83,NA()),IF($D$4="2026 YTD",IF(YEAR(F$83)=2026,F$83,NA()),IF($D$4="Last 6 months",IF(F$83&gt;=EDATE(MAX(IF(NOT(ISNA($B$84:$AW$84)),$B$83:$AW$83)),-5),F$83,NA()),IF($D$4="Last 12 months",IF(F$83&gt;=EDATE(MAX(IF(NOT(ISNA($B$84:$AW$84)),$B$83:$AW$83)),-11),F$83,NA()),F$83)))))))</f>
        <v>#N/A</v>
      </c>
      <c r="G93" s="99" t="e" cm="1">
        <f t="array" ref="G93">IF(ISNA(G$84),NA(),IF($D$4="All",G$83,IF(TEXT($D$4,"0")="2024",IF(YEAR(G$83)=2024,G$83,NA()),IF(TEXT($D$4,"0")="2025",IF(YEAR(G$83)=2025,G$83,NA()),IF($D$4="2026 YTD",IF(YEAR(G$83)=2026,G$83,NA()),IF($D$4="Last 6 months",IF(G$83&gt;=EDATE(MAX(IF(NOT(ISNA($B$84:$AW$84)),$B$83:$AW$83)),-5),G$83,NA()),IF($D$4="Last 12 months",IF(G$83&gt;=EDATE(MAX(IF(NOT(ISNA($B$84:$AW$84)),$B$83:$AW$83)),-11),G$83,NA()),G$83)))))))</f>
        <v>#N/A</v>
      </c>
      <c r="H93" s="99" t="e" cm="1">
        <f t="array" ref="H93">IF(ISNA(H$84),NA(),IF($D$4="All",H$83,IF(TEXT($D$4,"0")="2024",IF(YEAR(H$83)=2024,H$83,NA()),IF(TEXT($D$4,"0")="2025",IF(YEAR(H$83)=2025,H$83,NA()),IF($D$4="2026 YTD",IF(YEAR(H$83)=2026,H$83,NA()),IF($D$4="Last 6 months",IF(H$83&gt;=EDATE(MAX(IF(NOT(ISNA($B$84:$AW$84)),$B$83:$AW$83)),-5),H$83,NA()),IF($D$4="Last 12 months",IF(H$83&gt;=EDATE(MAX(IF(NOT(ISNA($B$84:$AW$84)),$B$83:$AW$83)),-11),H$83,NA()),H$83)))))))</f>
        <v>#N/A</v>
      </c>
      <c r="I93" s="99" t="e" cm="1">
        <f t="array" ref="I93">IF(ISNA(I$84),NA(),IF($D$4="All",I$83,IF(TEXT($D$4,"0")="2024",IF(YEAR(I$83)=2024,I$83,NA()),IF(TEXT($D$4,"0")="2025",IF(YEAR(I$83)=2025,I$83,NA()),IF($D$4="2026 YTD",IF(YEAR(I$83)=2026,I$83,NA()),IF($D$4="Last 6 months",IF(I$83&gt;=EDATE(MAX(IF(NOT(ISNA($B$84:$AW$84)),$B$83:$AW$83)),-5),I$83,NA()),IF($D$4="Last 12 months",IF(I$83&gt;=EDATE(MAX(IF(NOT(ISNA($B$84:$AW$84)),$B$83:$AW$83)),-11),I$83,NA()),I$83)))))))</f>
        <v>#N/A</v>
      </c>
      <c r="J93" s="99" t="e" cm="1">
        <f t="array" ref="J93">IF(ISNA(J$84),NA(),IF($D$4="All",J$83,IF(TEXT($D$4,"0")="2024",IF(YEAR(J$83)=2024,J$83,NA()),IF(TEXT($D$4,"0")="2025",IF(YEAR(J$83)=2025,J$83,NA()),IF($D$4="2026 YTD",IF(YEAR(J$83)=2026,J$83,NA()),IF($D$4="Last 6 months",IF(J$83&gt;=EDATE(MAX(IF(NOT(ISNA($B$84:$AW$84)),$B$83:$AW$83)),-5),J$83,NA()),IF($D$4="Last 12 months",IF(J$83&gt;=EDATE(MAX(IF(NOT(ISNA($B$84:$AW$84)),$B$83:$AW$83)),-11),J$83,NA()),J$83)))))))</f>
        <v>#N/A</v>
      </c>
      <c r="K93" s="99" t="e" cm="1">
        <f t="array" ref="K93">IF(ISNA(K$84),NA(),IF($D$4="All",K$83,IF(TEXT($D$4,"0")="2024",IF(YEAR(K$83)=2024,K$83,NA()),IF(TEXT($D$4,"0")="2025",IF(YEAR(K$83)=2025,K$83,NA()),IF($D$4="2026 YTD",IF(YEAR(K$83)=2026,K$83,NA()),IF($D$4="Last 6 months",IF(K$83&gt;=EDATE(MAX(IF(NOT(ISNA($B$84:$AW$84)),$B$83:$AW$83)),-5),K$83,NA()),IF($D$4="Last 12 months",IF(K$83&gt;=EDATE(MAX(IF(NOT(ISNA($B$84:$AW$84)),$B$83:$AW$83)),-11),K$83,NA()),K$83)))))))</f>
        <v>#N/A</v>
      </c>
      <c r="L93" s="99" t="e" cm="1">
        <f t="array" ref="L93">IF(ISNA(L$84),NA(),IF($D$4="All",L$83,IF(TEXT($D$4,"0")="2024",IF(YEAR(L$83)=2024,L$83,NA()),IF(TEXT($D$4,"0")="2025",IF(YEAR(L$83)=2025,L$83,NA()),IF($D$4="2026 YTD",IF(YEAR(L$83)=2026,L$83,NA()),IF($D$4="Last 6 months",IF(L$83&gt;=EDATE(MAX(IF(NOT(ISNA($B$84:$AW$84)),$B$83:$AW$83)),-5),L$83,NA()),IF($D$4="Last 12 months",IF(L$83&gt;=EDATE(MAX(IF(NOT(ISNA($B$84:$AW$84)),$B$83:$AW$83)),-11),L$83,NA()),L$83)))))))</f>
        <v>#N/A</v>
      </c>
      <c r="M93" s="99" t="e" cm="1">
        <f t="array" ref="M93">IF(ISNA(M$84),NA(),IF($D$4="All",M$83,IF(TEXT($D$4,"0")="2024",IF(YEAR(M$83)=2024,M$83,NA()),IF(TEXT($D$4,"0")="2025",IF(YEAR(M$83)=2025,M$83,NA()),IF($D$4="2026 YTD",IF(YEAR(M$83)=2026,M$83,NA()),IF($D$4="Last 6 months",IF(M$83&gt;=EDATE(MAX(IF(NOT(ISNA($B$84:$AW$84)),$B$83:$AW$83)),-5),M$83,NA()),IF($D$4="Last 12 months",IF(M$83&gt;=EDATE(MAX(IF(NOT(ISNA($B$84:$AW$84)),$B$83:$AW$83)),-11),M$83,NA()),M$83)))))))</f>
        <v>#N/A</v>
      </c>
      <c r="N93" s="99" t="e" cm="1">
        <f t="array" ref="N93">IF(ISNA(N$84),NA(),IF($D$4="All",N$83,IF(TEXT($D$4,"0")="2024",IF(YEAR(N$83)=2024,N$83,NA()),IF(TEXT($D$4,"0")="2025",IF(YEAR(N$83)=2025,N$83,NA()),IF($D$4="2026 YTD",IF(YEAR(N$83)=2026,N$83,NA()),IF($D$4="Last 6 months",IF(N$83&gt;=EDATE(MAX(IF(NOT(ISNA($B$84:$AW$84)),$B$83:$AW$83)),-5),N$83,NA()),IF($D$4="Last 12 months",IF(N$83&gt;=EDATE(MAX(IF(NOT(ISNA($B$84:$AW$84)),$B$83:$AW$83)),-11),N$83,NA()),N$83)))))))</f>
        <v>#N/A</v>
      </c>
      <c r="O93" s="99" t="e" cm="1">
        <f t="array" ref="O93">IF(ISNA(O$84),NA(),IF($D$4="All",O$83,IF(TEXT($D$4,"0")="2024",IF(YEAR(O$83)=2024,O$83,NA()),IF(TEXT($D$4,"0")="2025",IF(YEAR(O$83)=2025,O$83,NA()),IF($D$4="2026 YTD",IF(YEAR(O$83)=2026,O$83,NA()),IF($D$4="Last 6 months",IF(O$83&gt;=EDATE(MAX(IF(NOT(ISNA($B$84:$AW$84)),$B$83:$AW$83)),-5),O$83,NA()),IF($D$4="Last 12 months",IF(O$83&gt;=EDATE(MAX(IF(NOT(ISNA($B$84:$AW$84)),$B$83:$AW$83)),-11),O$83,NA()),O$83)))))))</f>
        <v>#N/A</v>
      </c>
      <c r="P93" s="99" t="e" cm="1">
        <f t="array" ref="P93">IF(ISNA(P$84),NA(),IF($D$4="All",P$83,IF(TEXT($D$4,"0")="2024",IF(YEAR(P$83)=2024,P$83,NA()),IF(TEXT($D$4,"0")="2025",IF(YEAR(P$83)=2025,P$83,NA()),IF($D$4="2026 YTD",IF(YEAR(P$83)=2026,P$83,NA()),IF($D$4="Last 6 months",IF(P$83&gt;=EDATE(MAX(IF(NOT(ISNA($B$84:$AW$84)),$B$83:$AW$83)),-5),P$83,NA()),IF($D$4="Last 12 months",IF(P$83&gt;=EDATE(MAX(IF(NOT(ISNA($B$84:$AW$84)),$B$83:$AW$83)),-11),P$83,NA()),P$83)))))))</f>
        <v>#N/A</v>
      </c>
      <c r="Q93" s="99" t="e" cm="1">
        <f t="array" ref="Q93">IF(ISNA(Q$84),NA(),IF($D$4="All",Q$83,IF(TEXT($D$4,"0")="2024",IF(YEAR(Q$83)=2024,Q$83,NA()),IF(TEXT($D$4,"0")="2025",IF(YEAR(Q$83)=2025,Q$83,NA()),IF($D$4="2026 YTD",IF(YEAR(Q$83)=2026,Q$83,NA()),IF($D$4="Last 6 months",IF(Q$83&gt;=EDATE(MAX(IF(NOT(ISNA($B$84:$AW$84)),$B$83:$AW$83)),-5),Q$83,NA()),IF($D$4="Last 12 months",IF(Q$83&gt;=EDATE(MAX(IF(NOT(ISNA($B$84:$AW$84)),$B$83:$AW$83)),-11),Q$83,NA()),Q$83)))))))</f>
        <v>#N/A</v>
      </c>
      <c r="R93" s="99" t="e" cm="1">
        <f t="array" ref="R93">IF(ISNA(R$84),NA(),IF($D$4="All",R$83,IF(TEXT($D$4,"0")="2024",IF(YEAR(R$83)=2024,R$83,NA()),IF(TEXT($D$4,"0")="2025",IF(YEAR(R$83)=2025,R$83,NA()),IF($D$4="2026 YTD",IF(YEAR(R$83)=2026,R$83,NA()),IF($D$4="Last 6 months",IF(R$83&gt;=EDATE(MAX(IF(NOT(ISNA($B$84:$AW$84)),$B$83:$AW$83)),-5),R$83,NA()),IF($D$4="Last 12 months",IF(R$83&gt;=EDATE(MAX(IF(NOT(ISNA($B$84:$AW$84)),$B$83:$AW$83)),-11),R$83,NA()),R$83)))))))</f>
        <v>#N/A</v>
      </c>
      <c r="S93" s="99" t="e" cm="1">
        <f t="array" ref="S93">IF(ISNA(S$84),NA(),IF($D$4="All",S$83,IF(TEXT($D$4,"0")="2024",IF(YEAR(S$83)=2024,S$83,NA()),IF(TEXT($D$4,"0")="2025",IF(YEAR(S$83)=2025,S$83,NA()),IF($D$4="2026 YTD",IF(YEAR(S$83)=2026,S$83,NA()),IF($D$4="Last 6 months",IF(S$83&gt;=EDATE(MAX(IF(NOT(ISNA($B$84:$AW$84)),$B$83:$AW$83)),-5),S$83,NA()),IF($D$4="Last 12 months",IF(S$83&gt;=EDATE(MAX(IF(NOT(ISNA($B$84:$AW$84)),$B$83:$AW$83)),-11),S$83,NA()),S$83)))))))</f>
        <v>#N/A</v>
      </c>
      <c r="T93" s="99" t="e" cm="1">
        <f t="array" ref="T93">IF(ISNA(T$84),NA(),IF($D$4="All",T$83,IF(TEXT($D$4,"0")="2024",IF(YEAR(T$83)=2024,T$83,NA()),IF(TEXT($D$4,"0")="2025",IF(YEAR(T$83)=2025,T$83,NA()),IF($D$4="2026 YTD",IF(YEAR(T$83)=2026,T$83,NA()),IF($D$4="Last 6 months",IF(T$83&gt;=EDATE(MAX(IF(NOT(ISNA($B$84:$AW$84)),$B$83:$AW$83)),-5),T$83,NA()),IF($D$4="Last 12 months",IF(T$83&gt;=EDATE(MAX(IF(NOT(ISNA($B$84:$AW$84)),$B$83:$AW$83)),-11),T$83,NA()),T$83)))))))</f>
        <v>#N/A</v>
      </c>
      <c r="U93" s="99" t="e" cm="1">
        <f t="array" ref="U93">IF(ISNA(U$84),NA(),IF($D$4="All",U$83,IF(TEXT($D$4,"0")="2024",IF(YEAR(U$83)=2024,U$83,NA()),IF(TEXT($D$4,"0")="2025",IF(YEAR(U$83)=2025,U$83,NA()),IF($D$4="2026 YTD",IF(YEAR(U$83)=2026,U$83,NA()),IF($D$4="Last 6 months",IF(U$83&gt;=EDATE(MAX(IF(NOT(ISNA($B$84:$AW$84)),$B$83:$AW$83)),-5),U$83,NA()),IF($D$4="Last 12 months",IF(U$83&gt;=EDATE(MAX(IF(NOT(ISNA($B$84:$AW$84)),$B$83:$AW$83)),-11),U$83,NA()),U$83)))))))</f>
        <v>#N/A</v>
      </c>
      <c r="V93" s="99" t="e" cm="1">
        <f t="array" ref="V93">IF(ISNA(V$84),NA(),IF($D$4="All",V$83,IF(TEXT($D$4,"0")="2024",IF(YEAR(V$83)=2024,V$83,NA()),IF(TEXT($D$4,"0")="2025",IF(YEAR(V$83)=2025,V$83,NA()),IF($D$4="2026 YTD",IF(YEAR(V$83)=2026,V$83,NA()),IF($D$4="Last 6 months",IF(V$83&gt;=EDATE(MAX(IF(NOT(ISNA($B$84:$AW$84)),$B$83:$AW$83)),-5),V$83,NA()),IF($D$4="Last 12 months",IF(V$83&gt;=EDATE(MAX(IF(NOT(ISNA($B$84:$AW$84)),$B$83:$AW$83)),-11),V$83,NA()),V$83)))))))</f>
        <v>#N/A</v>
      </c>
      <c r="W93" s="99" t="e" cm="1">
        <f t="array" ref="W93">IF(ISNA(W$84),NA(),IF($D$4="All",W$83,IF(TEXT($D$4,"0")="2024",IF(YEAR(W$83)=2024,W$83,NA()),IF(TEXT($D$4,"0")="2025",IF(YEAR(W$83)=2025,W$83,NA()),IF($D$4="2026 YTD",IF(YEAR(W$83)=2026,W$83,NA()),IF($D$4="Last 6 months",IF(W$83&gt;=EDATE(MAX(IF(NOT(ISNA($B$84:$AW$84)),$B$83:$AW$83)),-5),W$83,NA()),IF($D$4="Last 12 months",IF(W$83&gt;=EDATE(MAX(IF(NOT(ISNA($B$84:$AW$84)),$B$83:$AW$83)),-11),W$83,NA()),W$83)))))))</f>
        <v>#N/A</v>
      </c>
      <c r="X93" s="99" t="e" cm="1">
        <f t="array" ref="X93">IF(ISNA(X$84),NA(),IF($D$4="All",X$83,IF(TEXT($D$4,"0")="2024",IF(YEAR(X$83)=2024,X$83,NA()),IF(TEXT($D$4,"0")="2025",IF(YEAR(X$83)=2025,X$83,NA()),IF($D$4="2026 YTD",IF(YEAR(X$83)=2026,X$83,NA()),IF($D$4="Last 6 months",IF(X$83&gt;=EDATE(MAX(IF(NOT(ISNA($B$84:$AW$84)),$B$83:$AW$83)),-5),X$83,NA()),IF($D$4="Last 12 months",IF(X$83&gt;=EDATE(MAX(IF(NOT(ISNA($B$84:$AW$84)),$B$83:$AW$83)),-11),X$83,NA()),X$83)))))))</f>
        <v>#N/A</v>
      </c>
      <c r="Y93" s="99" t="e" cm="1">
        <f t="array" ref="Y93">IF(ISNA(Y$84),NA(),IF($D$4="All",Y$83,IF(TEXT($D$4,"0")="2024",IF(YEAR(Y$83)=2024,Y$83,NA()),IF(TEXT($D$4,"0")="2025",IF(YEAR(Y$83)=2025,Y$83,NA()),IF($D$4="2026 YTD",IF(YEAR(Y$83)=2026,Y$83,NA()),IF($D$4="Last 6 months",IF(Y$83&gt;=EDATE(MAX(IF(NOT(ISNA($B$84:$AW$84)),$B$83:$AW$83)),-5),Y$83,NA()),IF($D$4="Last 12 months",IF(Y$83&gt;=EDATE(MAX(IF(NOT(ISNA($B$84:$AW$84)),$B$83:$AW$83)),-11),Y$83,NA()),Y$83)))))))</f>
        <v>#N/A</v>
      </c>
      <c r="Z93" s="99" cm="1">
        <f t="array" ref="Z93">IF(ISNA(Z$84),NA(),IF($D$4="All",Z$83,IF(TEXT($D$4,"0")="2024",IF(YEAR(Z$83)=2024,Z$83,NA()),IF(TEXT($D$4,"0")="2025",IF(YEAR(Z$83)=2025,Z$83,NA()),IF($D$4="2026 YTD",IF(YEAR(Z$83)=2026,Z$83,NA()),IF($D$4="Last 6 months",IF(Z$83&gt;=EDATE(MAX(IF(NOT(ISNA($B$84:$AW$84)),$B$83:$AW$83)),-5),Z$83,NA()),IF($D$4="Last 12 months",IF(Z$83&gt;=EDATE(MAX(IF(NOT(ISNA($B$84:$AW$84)),$B$83:$AW$83)),-11),Z$83,NA()),Z$83)))))))</f>
        <v>46023</v>
      </c>
      <c r="AA93" s="99" cm="1">
        <f t="array" ref="AA93">IF(ISNA(AA$84),NA(),IF($D$4="All",AA$83,IF(TEXT($D$4,"0")="2024",IF(YEAR(AA$83)=2024,AA$83,NA()),IF(TEXT($D$4,"0")="2025",IF(YEAR(AA$83)=2025,AA$83,NA()),IF($D$4="2026 YTD",IF(YEAR(AA$83)=2026,AA$83,NA()),IF($D$4="Last 6 months",IF(AA$83&gt;=EDATE(MAX(IF(NOT(ISNA($B$84:$AW$84)),$B$83:$AW$83)),-5),AA$83,NA()),IF($D$4="Last 12 months",IF(AA$83&gt;=EDATE(MAX(IF(NOT(ISNA($B$84:$AW$84)),$B$83:$AW$83)),-11),AA$83,NA()),AA$83)))))))</f>
        <v>46054</v>
      </c>
      <c r="AB93" s="99" cm="1">
        <f t="array" ref="AB93">IF(ISNA(AB$84),NA(),IF($D$4="All",AB$83,IF(TEXT($D$4,"0")="2024",IF(YEAR(AB$83)=2024,AB$83,NA()),IF(TEXT($D$4,"0")="2025",IF(YEAR(AB$83)=2025,AB$83,NA()),IF($D$4="2026 YTD",IF(YEAR(AB$83)=2026,AB$83,NA()),IF($D$4="Last 6 months",IF(AB$83&gt;=EDATE(MAX(IF(NOT(ISNA($B$84:$AW$84)),$B$83:$AW$83)),-5),AB$83,NA()),IF($D$4="Last 12 months",IF(AB$83&gt;=EDATE(MAX(IF(NOT(ISNA($B$84:$AW$84)),$B$83:$AW$83)),-11),AB$83,NA()),AB$83)))))))</f>
        <v>46082</v>
      </c>
      <c r="AC93" s="99" t="e" cm="1">
        <f t="array" ref="AC93">IF(ISNA(AC$84),NA(),IF($D$4="All",AC$83,IF(TEXT($D$4,"0")="2024",IF(YEAR(AC$83)=2024,AC$83,NA()),IF(TEXT($D$4,"0")="2025",IF(YEAR(AC$83)=2025,AC$83,NA()),IF($D$4="2026 YTD",IF(YEAR(AC$83)=2026,AC$83,NA()),IF($D$4="Last 6 months",IF(AC$83&gt;=EDATE(MAX(IF(NOT(ISNA($B$84:$AW$84)),$B$83:$AW$83)),-5),AC$83,NA()),IF($D$4="Last 12 months",IF(AC$83&gt;=EDATE(MAX(IF(NOT(ISNA($B$84:$AW$84)),$B$83:$AW$83)),-11),AC$83,NA()),AC$83)))))))</f>
        <v>#N/A</v>
      </c>
      <c r="AD93" s="99" t="e" cm="1">
        <f t="array" ref="AD93">IF(ISNA(AD$84),NA(),IF($D$4="All",AD$83,IF(TEXT($D$4,"0")="2024",IF(YEAR(AD$83)=2024,AD$83,NA()),IF(TEXT($D$4,"0")="2025",IF(YEAR(AD$83)=2025,AD$83,NA()),IF($D$4="2026 YTD",IF(YEAR(AD$83)=2026,AD$83,NA()),IF($D$4="Last 6 months",IF(AD$83&gt;=EDATE(MAX(IF(NOT(ISNA($B$84:$AW$84)),$B$83:$AW$83)),-5),AD$83,NA()),IF($D$4="Last 12 months",IF(AD$83&gt;=EDATE(MAX(IF(NOT(ISNA($B$84:$AW$84)),$B$83:$AW$83)),-11),AD$83,NA()),AD$83)))))))</f>
        <v>#N/A</v>
      </c>
      <c r="AE93" s="99" t="e" cm="1">
        <f t="array" ref="AE93">IF(ISNA(AE$84),NA(),IF($D$4="All",AE$83,IF(TEXT($D$4,"0")="2024",IF(YEAR(AE$83)=2024,AE$83,NA()),IF(TEXT($D$4,"0")="2025",IF(YEAR(AE$83)=2025,AE$83,NA()),IF($D$4="2026 YTD",IF(YEAR(AE$83)=2026,AE$83,NA()),IF($D$4="Last 6 months",IF(AE$83&gt;=EDATE(MAX(IF(NOT(ISNA($B$84:$AW$84)),$B$83:$AW$83)),-5),AE$83,NA()),IF($D$4="Last 12 months",IF(AE$83&gt;=EDATE(MAX(IF(NOT(ISNA($B$84:$AW$84)),$B$83:$AW$83)),-11),AE$83,NA()),AE$83)))))))</f>
        <v>#N/A</v>
      </c>
      <c r="AF93" s="99" t="e" cm="1">
        <f t="array" ref="AF93">IF(ISNA(AF$84),NA(),IF($D$4="All",AF$83,IF(TEXT($D$4,"0")="2024",IF(YEAR(AF$83)=2024,AF$83,NA()),IF(TEXT($D$4,"0")="2025",IF(YEAR(AF$83)=2025,AF$83,NA()),IF($D$4="2026 YTD",IF(YEAR(AF$83)=2026,AF$83,NA()),IF($D$4="Last 6 months",IF(AF$83&gt;=EDATE(MAX(IF(NOT(ISNA($B$84:$AW$84)),$B$83:$AW$83)),-5),AF$83,NA()),IF($D$4="Last 12 months",IF(AF$83&gt;=EDATE(MAX(IF(NOT(ISNA($B$84:$AW$84)),$B$83:$AW$83)),-11),AF$83,NA()),AF$83)))))))</f>
        <v>#N/A</v>
      </c>
      <c r="AG93" s="99" t="e" cm="1">
        <f t="array" ref="AG93">IF(ISNA(AG$84),NA(),IF($D$4="All",AG$83,IF(TEXT($D$4,"0")="2024",IF(YEAR(AG$83)=2024,AG$83,NA()),IF(TEXT($D$4,"0")="2025",IF(YEAR(AG$83)=2025,AG$83,NA()),IF($D$4="2026 YTD",IF(YEAR(AG$83)=2026,AG$83,NA()),IF($D$4="Last 6 months",IF(AG$83&gt;=EDATE(MAX(IF(NOT(ISNA($B$84:$AW$84)),$B$83:$AW$83)),-5),AG$83,NA()),IF($D$4="Last 12 months",IF(AG$83&gt;=EDATE(MAX(IF(NOT(ISNA($B$84:$AW$84)),$B$83:$AW$83)),-11),AG$83,NA()),AG$83)))))))</f>
        <v>#N/A</v>
      </c>
      <c r="AH93" s="99" t="e" cm="1">
        <f t="array" ref="AH93">IF(ISNA(AH$84),NA(),IF($D$4="All",AH$83,IF(TEXT($D$4,"0")="2024",IF(YEAR(AH$83)=2024,AH$83,NA()),IF(TEXT($D$4,"0")="2025",IF(YEAR(AH$83)=2025,AH$83,NA()),IF($D$4="2026 YTD",IF(YEAR(AH$83)=2026,AH$83,NA()),IF($D$4="Last 6 months",IF(AH$83&gt;=EDATE(MAX(IF(NOT(ISNA($B$84:$AW$84)),$B$83:$AW$83)),-5),AH$83,NA()),IF($D$4="Last 12 months",IF(AH$83&gt;=EDATE(MAX(IF(NOT(ISNA($B$84:$AW$84)),$B$83:$AW$83)),-11),AH$83,NA()),AH$83)))))))</f>
        <v>#N/A</v>
      </c>
      <c r="AI93" s="99" t="e" cm="1">
        <f t="array" ref="AI93">IF(ISNA(AI$84),NA(),IF($D$4="All",AI$83,IF(TEXT($D$4,"0")="2024",IF(YEAR(AI$83)=2024,AI$83,NA()),IF(TEXT($D$4,"0")="2025",IF(YEAR(AI$83)=2025,AI$83,NA()),IF($D$4="2026 YTD",IF(YEAR(AI$83)=2026,AI$83,NA()),IF($D$4="Last 6 months",IF(AI$83&gt;=EDATE(MAX(IF(NOT(ISNA($B$84:$AW$84)),$B$83:$AW$83)),-5),AI$83,NA()),IF($D$4="Last 12 months",IF(AI$83&gt;=EDATE(MAX(IF(NOT(ISNA($B$84:$AW$84)),$B$83:$AW$83)),-11),AI$83,NA()),AI$83)))))))</f>
        <v>#N/A</v>
      </c>
      <c r="AJ93" s="99" t="e" cm="1">
        <f t="array" ref="AJ93">IF(ISNA(AJ$84),NA(),IF($D$4="All",AJ$83,IF(TEXT($D$4,"0")="2024",IF(YEAR(AJ$83)=2024,AJ$83,NA()),IF(TEXT($D$4,"0")="2025",IF(YEAR(AJ$83)=2025,AJ$83,NA()),IF($D$4="2026 YTD",IF(YEAR(AJ$83)=2026,AJ$83,NA()),IF($D$4="Last 6 months",IF(AJ$83&gt;=EDATE(MAX(IF(NOT(ISNA($B$84:$AW$84)),$B$83:$AW$83)),-5),AJ$83,NA()),IF($D$4="Last 12 months",IF(AJ$83&gt;=EDATE(MAX(IF(NOT(ISNA($B$84:$AW$84)),$B$83:$AW$83)),-11),AJ$83,NA()),AJ$83)))))))</f>
        <v>#N/A</v>
      </c>
      <c r="AK93" s="99" t="e" cm="1">
        <f t="array" ref="AK93">IF(ISNA(AK$84),NA(),IF($D$4="All",AK$83,IF(TEXT($D$4,"0")="2024",IF(YEAR(AK$83)=2024,AK$83,NA()),IF(TEXT($D$4,"0")="2025",IF(YEAR(AK$83)=2025,AK$83,NA()),IF($D$4="2026 YTD",IF(YEAR(AK$83)=2026,AK$83,NA()),IF($D$4="Last 6 months",IF(AK$83&gt;=EDATE(MAX(IF(NOT(ISNA($B$84:$AW$84)),$B$83:$AW$83)),-5),AK$83,NA()),IF($D$4="Last 12 months",IF(AK$83&gt;=EDATE(MAX(IF(NOT(ISNA($B$84:$AW$84)),$B$83:$AW$83)),-11),AK$83,NA()),AK$83)))))))</f>
        <v>#N/A</v>
      </c>
      <c r="AL93" s="99" t="e" cm="1">
        <f t="array" ref="AL93">IF(ISNA(AL$84),NA(),IF($D$4="All",AL$83,IF(TEXT($D$4,"0")="2024",IF(YEAR(AL$83)=2024,AL$83,NA()),IF(TEXT($D$4,"0")="2025",IF(YEAR(AL$83)=2025,AL$83,NA()),IF($D$4="2026 YTD",IF(YEAR(AL$83)=2026,AL$83,NA()),IF($D$4="Last 6 months",IF(AL$83&gt;=EDATE(MAX(IF(NOT(ISNA($B$84:$AW$84)),$B$83:$AW$83)),-5),AL$83,NA()),IF($D$4="Last 12 months",IF(AL$83&gt;=EDATE(MAX(IF(NOT(ISNA($B$84:$AW$84)),$B$83:$AW$83)),-11),AL$83,NA()),AL$83)))))))</f>
        <v>#N/A</v>
      </c>
      <c r="AM93" s="99" t="e" cm="1">
        <f t="array" ref="AM93">IF(ISNA(AM$84),NA(),IF($D$4="All",AM$83,IF(TEXT($D$4,"0")="2024",IF(YEAR(AM$83)=2024,AM$83,NA()),IF(TEXT($D$4,"0")="2025",IF(YEAR(AM$83)=2025,AM$83,NA()),IF($D$4="2026 YTD",IF(YEAR(AM$83)=2026,AM$83,NA()),IF($D$4="Last 6 months",IF(AM$83&gt;=EDATE(MAX(IF(NOT(ISNA($B$84:$AW$84)),$B$83:$AW$83)),-5),AM$83,NA()),IF($D$4="Last 12 months",IF(AM$83&gt;=EDATE(MAX(IF(NOT(ISNA($B$84:$AW$84)),$B$83:$AW$83)),-11),AM$83,NA()),AM$83)))))))</f>
        <v>#N/A</v>
      </c>
      <c r="AN93" s="99" t="e" cm="1">
        <f t="array" ref="AN93">IF(ISNA(AN$84),NA(),IF($D$4="All",AN$83,IF(TEXT($D$4,"0")="2024",IF(YEAR(AN$83)=2024,AN$83,NA()),IF(TEXT($D$4,"0")="2025",IF(YEAR(AN$83)=2025,AN$83,NA()),IF($D$4="2026 YTD",IF(YEAR(AN$83)=2026,AN$83,NA()),IF($D$4="Last 6 months",IF(AN$83&gt;=EDATE(MAX(IF(NOT(ISNA($B$84:$AW$84)),$B$83:$AW$83)),-5),AN$83,NA()),IF($D$4="Last 12 months",IF(AN$83&gt;=EDATE(MAX(IF(NOT(ISNA($B$84:$AW$84)),$B$83:$AW$83)),-11),AN$83,NA()),AN$83)))))))</f>
        <v>#N/A</v>
      </c>
      <c r="AO93" s="99" t="e" cm="1">
        <f t="array" ref="AO93">IF(ISNA(AO$84),NA(),IF($D$4="All",AO$83,IF(TEXT($D$4,"0")="2024",IF(YEAR(AO$83)=2024,AO$83,NA()),IF(TEXT($D$4,"0")="2025",IF(YEAR(AO$83)=2025,AO$83,NA()),IF($D$4="2026 YTD",IF(YEAR(AO$83)=2026,AO$83,NA()),IF($D$4="Last 6 months",IF(AO$83&gt;=EDATE(MAX(IF(NOT(ISNA($B$84:$AW$84)),$B$83:$AW$83)),-5),AO$83,NA()),IF($D$4="Last 12 months",IF(AO$83&gt;=EDATE(MAX(IF(NOT(ISNA($B$84:$AW$84)),$B$83:$AW$83)),-11),AO$83,NA()),AO$83)))))))</f>
        <v>#N/A</v>
      </c>
      <c r="AP93" s="99" t="e" cm="1">
        <f t="array" ref="AP93">IF(ISNA(AP$84),NA(),IF($D$4="All",AP$83,IF(TEXT($D$4,"0")="2024",IF(YEAR(AP$83)=2024,AP$83,NA()),IF(TEXT($D$4,"0")="2025",IF(YEAR(AP$83)=2025,AP$83,NA()),IF($D$4="2026 YTD",IF(YEAR(AP$83)=2026,AP$83,NA()),IF($D$4="Last 6 months",IF(AP$83&gt;=EDATE(MAX(IF(NOT(ISNA($B$84:$AW$84)),$B$83:$AW$83)),-5),AP$83,NA()),IF($D$4="Last 12 months",IF(AP$83&gt;=EDATE(MAX(IF(NOT(ISNA($B$84:$AW$84)),$B$83:$AW$83)),-11),AP$83,NA()),AP$83)))))))</f>
        <v>#N/A</v>
      </c>
      <c r="AQ93" s="99" t="e" cm="1">
        <f t="array" ref="AQ93">IF(ISNA(AQ$84),NA(),IF($D$4="All",AQ$83,IF(TEXT($D$4,"0")="2024",IF(YEAR(AQ$83)=2024,AQ$83,NA()),IF(TEXT($D$4,"0")="2025",IF(YEAR(AQ$83)=2025,AQ$83,NA()),IF($D$4="2026 YTD",IF(YEAR(AQ$83)=2026,AQ$83,NA()),IF($D$4="Last 6 months",IF(AQ$83&gt;=EDATE(MAX(IF(NOT(ISNA($B$84:$AW$84)),$B$83:$AW$83)),-5),AQ$83,NA()),IF($D$4="Last 12 months",IF(AQ$83&gt;=EDATE(MAX(IF(NOT(ISNA($B$84:$AW$84)),$B$83:$AW$83)),-11),AQ$83,NA()),AQ$83)))))))</f>
        <v>#N/A</v>
      </c>
      <c r="AR93" s="99" t="e" cm="1">
        <f t="array" ref="AR93">IF(ISNA(AR$84),NA(),IF($D$4="All",AR$83,IF(TEXT($D$4,"0")="2024",IF(YEAR(AR$83)=2024,AR$83,NA()),IF(TEXT($D$4,"0")="2025",IF(YEAR(AR$83)=2025,AR$83,NA()),IF($D$4="2026 YTD",IF(YEAR(AR$83)=2026,AR$83,NA()),IF($D$4="Last 6 months",IF(AR$83&gt;=EDATE(MAX(IF(NOT(ISNA($B$84:$AW$84)),$B$83:$AW$83)),-5),AR$83,NA()),IF($D$4="Last 12 months",IF(AR$83&gt;=EDATE(MAX(IF(NOT(ISNA($B$84:$AW$84)),$B$83:$AW$83)),-11),AR$83,NA()),AR$83)))))))</f>
        <v>#N/A</v>
      </c>
      <c r="AS93" s="99" t="e" cm="1">
        <f t="array" ref="AS93">IF(ISNA(AS$84),NA(),IF($D$4="All",AS$83,IF(TEXT($D$4,"0")="2024",IF(YEAR(AS$83)=2024,AS$83,NA()),IF(TEXT($D$4,"0")="2025",IF(YEAR(AS$83)=2025,AS$83,NA()),IF($D$4="2026 YTD",IF(YEAR(AS$83)=2026,AS$83,NA()),IF($D$4="Last 6 months",IF(AS$83&gt;=EDATE(MAX(IF(NOT(ISNA($B$84:$AW$84)),$B$83:$AW$83)),-5),AS$83,NA()),IF($D$4="Last 12 months",IF(AS$83&gt;=EDATE(MAX(IF(NOT(ISNA($B$84:$AW$84)),$B$83:$AW$83)),-11),AS$83,NA()),AS$83)))))))</f>
        <v>#N/A</v>
      </c>
      <c r="AT93" s="99" t="e" cm="1">
        <f t="array" ref="AT93">IF(ISNA(AT$84),NA(),IF($D$4="All",AT$83,IF(TEXT($D$4,"0")="2024",IF(YEAR(AT$83)=2024,AT$83,NA()),IF(TEXT($D$4,"0")="2025",IF(YEAR(AT$83)=2025,AT$83,NA()),IF($D$4="2026 YTD",IF(YEAR(AT$83)=2026,AT$83,NA()),IF($D$4="Last 6 months",IF(AT$83&gt;=EDATE(MAX(IF(NOT(ISNA($B$84:$AW$84)),$B$83:$AW$83)),-5),AT$83,NA()),IF($D$4="Last 12 months",IF(AT$83&gt;=EDATE(MAX(IF(NOT(ISNA($B$84:$AW$84)),$B$83:$AW$83)),-11),AT$83,NA()),AT$83)))))))</f>
        <v>#N/A</v>
      </c>
      <c r="AU93" s="99" t="e" cm="1">
        <f t="array" ref="AU93">IF(ISNA(AU$84),NA(),IF($D$4="All",AU$83,IF(TEXT($D$4,"0")="2024",IF(YEAR(AU$83)=2024,AU$83,NA()),IF(TEXT($D$4,"0")="2025",IF(YEAR(AU$83)=2025,AU$83,NA()),IF($D$4="2026 YTD",IF(YEAR(AU$83)=2026,AU$83,NA()),IF($D$4="Last 6 months",IF(AU$83&gt;=EDATE(MAX(IF(NOT(ISNA($B$84:$AW$84)),$B$83:$AW$83)),-5),AU$83,NA()),IF($D$4="Last 12 months",IF(AU$83&gt;=EDATE(MAX(IF(NOT(ISNA($B$84:$AW$84)),$B$83:$AW$83)),-11),AU$83,NA()),AU$83)))))))</f>
        <v>#N/A</v>
      </c>
      <c r="AV93" s="99" t="e" cm="1">
        <f t="array" ref="AV93">IF(ISNA(AV$84),NA(),IF($D$4="All",AV$83,IF(TEXT($D$4,"0")="2024",IF(YEAR(AV$83)=2024,AV$83,NA()),IF(TEXT($D$4,"0")="2025",IF(YEAR(AV$83)=2025,AV$83,NA()),IF($D$4="2026 YTD",IF(YEAR(AV$83)=2026,AV$83,NA()),IF($D$4="Last 6 months",IF(AV$83&gt;=EDATE(MAX(IF(NOT(ISNA($B$84:$AW$84)),$B$83:$AW$83)),-5),AV$83,NA()),IF($D$4="Last 12 months",IF(AV$83&gt;=EDATE(MAX(IF(NOT(ISNA($B$84:$AW$84)),$B$83:$AW$83)),-11),AV$83,NA()),AV$83)))))))</f>
        <v>#N/A</v>
      </c>
      <c r="AW93" s="99" t="e" cm="1">
        <f t="array" ref="AW93">IF(ISNA(AW$84),NA(),IF($D$4="All",AW$83,IF(TEXT($D$4,"0")="2024",IF(YEAR(AW$83)=2024,AW$83,NA()),IF(TEXT($D$4,"0")="2025",IF(YEAR(AW$83)=2025,AW$83,NA()),IF($D$4="2026 YTD",IF(YEAR(AW$83)=2026,AW$83,NA()),IF($D$4="Last 6 months",IF(AW$83&gt;=EDATE(MAX(IF(NOT(ISNA($B$84:$AW$84)),$B$83:$AW$83)),-5),AW$83,NA()),IF($D$4="Last 12 months",IF(AW$83&gt;=EDATE(MAX(IF(NOT(ISNA($B$84:$AW$84)),$B$83:$AW$83)),-11),AW$83,NA()),AW$83)))))))</f>
        <v>#N/A</v>
      </c>
    </row>
    <row r="94" spans="1:49" x14ac:dyDescent="0.25">
      <c r="A94" s="98" t="s">
        <v>41</v>
      </c>
      <c r="B94" s="100" t="e">
        <f>IF(ISNA(B$93),NA(),B84)</f>
        <v>#N/A</v>
      </c>
      <c r="C94" s="100" t="e">
        <f t="shared" ref="C94:AW94" si="1">IF(ISNA(C$93),NA(),C84)</f>
        <v>#N/A</v>
      </c>
      <c r="D94" s="100" t="e">
        <f t="shared" si="1"/>
        <v>#N/A</v>
      </c>
      <c r="E94" s="100" t="e">
        <f t="shared" si="1"/>
        <v>#N/A</v>
      </c>
      <c r="F94" s="100" t="e">
        <f t="shared" si="1"/>
        <v>#N/A</v>
      </c>
      <c r="G94" s="100" t="e">
        <f t="shared" si="1"/>
        <v>#N/A</v>
      </c>
      <c r="H94" s="100" t="e">
        <f t="shared" si="1"/>
        <v>#N/A</v>
      </c>
      <c r="I94" s="100" t="e">
        <f t="shared" si="1"/>
        <v>#N/A</v>
      </c>
      <c r="J94" s="100" t="e">
        <f t="shared" si="1"/>
        <v>#N/A</v>
      </c>
      <c r="K94" s="100" t="e">
        <f t="shared" si="1"/>
        <v>#N/A</v>
      </c>
      <c r="L94" s="100" t="e">
        <f t="shared" si="1"/>
        <v>#N/A</v>
      </c>
      <c r="M94" s="100" t="e">
        <f t="shared" si="1"/>
        <v>#N/A</v>
      </c>
      <c r="N94" s="100" t="e">
        <f t="shared" si="1"/>
        <v>#N/A</v>
      </c>
      <c r="O94" s="100" t="e">
        <f t="shared" si="1"/>
        <v>#N/A</v>
      </c>
      <c r="P94" s="100" t="e">
        <f t="shared" si="1"/>
        <v>#N/A</v>
      </c>
      <c r="Q94" s="100" t="e">
        <f t="shared" si="1"/>
        <v>#N/A</v>
      </c>
      <c r="R94" s="100" t="e">
        <f t="shared" si="1"/>
        <v>#N/A</v>
      </c>
      <c r="S94" s="100" t="e">
        <f t="shared" si="1"/>
        <v>#N/A</v>
      </c>
      <c r="T94" s="100" t="e">
        <f t="shared" si="1"/>
        <v>#N/A</v>
      </c>
      <c r="U94" s="100" t="e">
        <f t="shared" si="1"/>
        <v>#N/A</v>
      </c>
      <c r="V94" s="100" t="e">
        <f t="shared" si="1"/>
        <v>#N/A</v>
      </c>
      <c r="W94" s="100" t="e">
        <f t="shared" si="1"/>
        <v>#N/A</v>
      </c>
      <c r="X94" s="100" t="e">
        <f t="shared" si="1"/>
        <v>#N/A</v>
      </c>
      <c r="Y94" s="100" t="e">
        <f t="shared" si="1"/>
        <v>#N/A</v>
      </c>
      <c r="Z94" s="100">
        <f t="shared" si="1"/>
        <v>425326</v>
      </c>
      <c r="AA94" s="100">
        <f t="shared" si="1"/>
        <v>392393</v>
      </c>
      <c r="AB94" s="100">
        <f t="shared" si="1"/>
        <v>389624</v>
      </c>
      <c r="AC94" s="100" t="e">
        <f t="shared" si="1"/>
        <v>#N/A</v>
      </c>
      <c r="AD94" s="100" t="e">
        <f t="shared" si="1"/>
        <v>#N/A</v>
      </c>
      <c r="AE94" s="100" t="e">
        <f t="shared" si="1"/>
        <v>#N/A</v>
      </c>
      <c r="AF94" s="100" t="e">
        <f t="shared" si="1"/>
        <v>#N/A</v>
      </c>
      <c r="AG94" s="100" t="e">
        <f t="shared" si="1"/>
        <v>#N/A</v>
      </c>
      <c r="AH94" s="100" t="e">
        <f t="shared" si="1"/>
        <v>#N/A</v>
      </c>
      <c r="AI94" s="100" t="e">
        <f t="shared" si="1"/>
        <v>#N/A</v>
      </c>
      <c r="AJ94" s="100" t="e">
        <f t="shared" si="1"/>
        <v>#N/A</v>
      </c>
      <c r="AK94" s="100" t="e">
        <f t="shared" si="1"/>
        <v>#N/A</v>
      </c>
      <c r="AL94" s="100" t="e">
        <f t="shared" si="1"/>
        <v>#N/A</v>
      </c>
      <c r="AM94" s="100" t="e">
        <f t="shared" si="1"/>
        <v>#N/A</v>
      </c>
      <c r="AN94" s="100" t="e">
        <f t="shared" si="1"/>
        <v>#N/A</v>
      </c>
      <c r="AO94" s="100" t="e">
        <f t="shared" si="1"/>
        <v>#N/A</v>
      </c>
      <c r="AP94" s="100" t="e">
        <f t="shared" si="1"/>
        <v>#N/A</v>
      </c>
      <c r="AQ94" s="100" t="e">
        <f t="shared" si="1"/>
        <v>#N/A</v>
      </c>
      <c r="AR94" s="100" t="e">
        <f t="shared" si="1"/>
        <v>#N/A</v>
      </c>
      <c r="AS94" s="100" t="e">
        <f t="shared" si="1"/>
        <v>#N/A</v>
      </c>
      <c r="AT94" s="100" t="e">
        <f t="shared" si="1"/>
        <v>#N/A</v>
      </c>
      <c r="AU94" s="100" t="e">
        <f t="shared" si="1"/>
        <v>#N/A</v>
      </c>
      <c r="AV94" s="100" t="e">
        <f t="shared" si="1"/>
        <v>#N/A</v>
      </c>
      <c r="AW94" s="100" t="e">
        <f t="shared" si="1"/>
        <v>#N/A</v>
      </c>
    </row>
    <row r="95" spans="1:49" x14ac:dyDescent="0.25">
      <c r="A95" s="98" t="s">
        <v>42</v>
      </c>
      <c r="B95" s="100" t="e">
        <f>IF(ISNA(B$93),NA(),B85)</f>
        <v>#N/A</v>
      </c>
      <c r="C95" s="100" t="e">
        <f t="shared" ref="C95:AW95" si="2">IF(ISNA(C$93),NA(),C85)</f>
        <v>#N/A</v>
      </c>
      <c r="D95" s="100" t="e">
        <f t="shared" si="2"/>
        <v>#N/A</v>
      </c>
      <c r="E95" s="100" t="e">
        <f t="shared" si="2"/>
        <v>#N/A</v>
      </c>
      <c r="F95" s="100" t="e">
        <f t="shared" si="2"/>
        <v>#N/A</v>
      </c>
      <c r="G95" s="100" t="e">
        <f t="shared" si="2"/>
        <v>#N/A</v>
      </c>
      <c r="H95" s="100" t="e">
        <f t="shared" si="2"/>
        <v>#N/A</v>
      </c>
      <c r="I95" s="100" t="e">
        <f t="shared" si="2"/>
        <v>#N/A</v>
      </c>
      <c r="J95" s="100" t="e">
        <f t="shared" si="2"/>
        <v>#N/A</v>
      </c>
      <c r="K95" s="100" t="e">
        <f t="shared" si="2"/>
        <v>#N/A</v>
      </c>
      <c r="L95" s="100" t="e">
        <f t="shared" si="2"/>
        <v>#N/A</v>
      </c>
      <c r="M95" s="100" t="e">
        <f t="shared" si="2"/>
        <v>#N/A</v>
      </c>
      <c r="N95" s="100" t="e">
        <f t="shared" si="2"/>
        <v>#N/A</v>
      </c>
      <c r="O95" s="100" t="e">
        <f t="shared" si="2"/>
        <v>#N/A</v>
      </c>
      <c r="P95" s="100" t="e">
        <f t="shared" si="2"/>
        <v>#N/A</v>
      </c>
      <c r="Q95" s="100" t="e">
        <f t="shared" si="2"/>
        <v>#N/A</v>
      </c>
      <c r="R95" s="100" t="e">
        <f t="shared" si="2"/>
        <v>#N/A</v>
      </c>
      <c r="S95" s="100" t="e">
        <f t="shared" si="2"/>
        <v>#N/A</v>
      </c>
      <c r="T95" s="100" t="e">
        <f t="shared" si="2"/>
        <v>#N/A</v>
      </c>
      <c r="U95" s="100" t="e">
        <f t="shared" si="2"/>
        <v>#N/A</v>
      </c>
      <c r="V95" s="100" t="e">
        <f t="shared" si="2"/>
        <v>#N/A</v>
      </c>
      <c r="W95" s="100" t="e">
        <f t="shared" si="2"/>
        <v>#N/A</v>
      </c>
      <c r="X95" s="100" t="e">
        <f t="shared" si="2"/>
        <v>#N/A</v>
      </c>
      <c r="Y95" s="100" t="e">
        <f t="shared" si="2"/>
        <v>#N/A</v>
      </c>
      <c r="Z95" s="100">
        <f t="shared" si="2"/>
        <v>5774412.6399999987</v>
      </c>
      <c r="AA95" s="100">
        <f t="shared" si="2"/>
        <v>5394056.1699999999</v>
      </c>
      <c r="AB95" s="100">
        <f t="shared" si="2"/>
        <v>5433838.2200000007</v>
      </c>
      <c r="AC95" s="100" t="e">
        <f t="shared" si="2"/>
        <v>#N/A</v>
      </c>
      <c r="AD95" s="100" t="e">
        <f t="shared" si="2"/>
        <v>#N/A</v>
      </c>
      <c r="AE95" s="100" t="e">
        <f t="shared" si="2"/>
        <v>#N/A</v>
      </c>
      <c r="AF95" s="100" t="e">
        <f t="shared" si="2"/>
        <v>#N/A</v>
      </c>
      <c r="AG95" s="100" t="e">
        <f t="shared" si="2"/>
        <v>#N/A</v>
      </c>
      <c r="AH95" s="100" t="e">
        <f t="shared" si="2"/>
        <v>#N/A</v>
      </c>
      <c r="AI95" s="100" t="e">
        <f t="shared" si="2"/>
        <v>#N/A</v>
      </c>
      <c r="AJ95" s="100" t="e">
        <f t="shared" si="2"/>
        <v>#N/A</v>
      </c>
      <c r="AK95" s="100" t="e">
        <f t="shared" si="2"/>
        <v>#N/A</v>
      </c>
      <c r="AL95" s="100" t="e">
        <f t="shared" si="2"/>
        <v>#N/A</v>
      </c>
      <c r="AM95" s="100" t="e">
        <f t="shared" si="2"/>
        <v>#N/A</v>
      </c>
      <c r="AN95" s="100" t="e">
        <f t="shared" si="2"/>
        <v>#N/A</v>
      </c>
      <c r="AO95" s="100" t="e">
        <f t="shared" si="2"/>
        <v>#N/A</v>
      </c>
      <c r="AP95" s="100" t="e">
        <f t="shared" si="2"/>
        <v>#N/A</v>
      </c>
      <c r="AQ95" s="100" t="e">
        <f t="shared" si="2"/>
        <v>#N/A</v>
      </c>
      <c r="AR95" s="100" t="e">
        <f t="shared" si="2"/>
        <v>#N/A</v>
      </c>
      <c r="AS95" s="100" t="e">
        <f t="shared" si="2"/>
        <v>#N/A</v>
      </c>
      <c r="AT95" s="100" t="e">
        <f t="shared" si="2"/>
        <v>#N/A</v>
      </c>
      <c r="AU95" s="100" t="e">
        <f t="shared" si="2"/>
        <v>#N/A</v>
      </c>
      <c r="AV95" s="100" t="e">
        <f t="shared" si="2"/>
        <v>#N/A</v>
      </c>
      <c r="AW95" s="100" t="e">
        <f t="shared" si="2"/>
        <v>#N/A</v>
      </c>
    </row>
    <row r="96" spans="1:49" x14ac:dyDescent="0.25">
      <c r="A96" s="98" t="s">
        <v>43</v>
      </c>
      <c r="B96" s="100" t="e">
        <f>IF(ISNA(B$93),NA(),B86)</f>
        <v>#N/A</v>
      </c>
      <c r="C96" s="100" t="e">
        <f t="shared" ref="C96:AW96" si="3">IF(ISNA(C$93),NA(),C86)</f>
        <v>#N/A</v>
      </c>
      <c r="D96" s="100" t="e">
        <f t="shared" si="3"/>
        <v>#N/A</v>
      </c>
      <c r="E96" s="100" t="e">
        <f t="shared" si="3"/>
        <v>#N/A</v>
      </c>
      <c r="F96" s="100" t="e">
        <f t="shared" si="3"/>
        <v>#N/A</v>
      </c>
      <c r="G96" s="100" t="e">
        <f t="shared" si="3"/>
        <v>#N/A</v>
      </c>
      <c r="H96" s="100" t="e">
        <f t="shared" si="3"/>
        <v>#N/A</v>
      </c>
      <c r="I96" s="100" t="e">
        <f t="shared" si="3"/>
        <v>#N/A</v>
      </c>
      <c r="J96" s="100" t="e">
        <f t="shared" si="3"/>
        <v>#N/A</v>
      </c>
      <c r="K96" s="100" t="e">
        <f t="shared" si="3"/>
        <v>#N/A</v>
      </c>
      <c r="L96" s="100" t="e">
        <f t="shared" si="3"/>
        <v>#N/A</v>
      </c>
      <c r="M96" s="100" t="e">
        <f t="shared" si="3"/>
        <v>#N/A</v>
      </c>
      <c r="N96" s="100" t="e">
        <f t="shared" si="3"/>
        <v>#N/A</v>
      </c>
      <c r="O96" s="100" t="e">
        <f t="shared" si="3"/>
        <v>#N/A</v>
      </c>
      <c r="P96" s="100" t="e">
        <f t="shared" si="3"/>
        <v>#N/A</v>
      </c>
      <c r="Q96" s="100" t="e">
        <f t="shared" si="3"/>
        <v>#N/A</v>
      </c>
      <c r="R96" s="100" t="e">
        <f t="shared" si="3"/>
        <v>#N/A</v>
      </c>
      <c r="S96" s="100" t="e">
        <f t="shared" si="3"/>
        <v>#N/A</v>
      </c>
      <c r="T96" s="100" t="e">
        <f t="shared" si="3"/>
        <v>#N/A</v>
      </c>
      <c r="U96" s="100" t="e">
        <f t="shared" si="3"/>
        <v>#N/A</v>
      </c>
      <c r="V96" s="100" t="e">
        <f t="shared" si="3"/>
        <v>#N/A</v>
      </c>
      <c r="W96" s="100" t="e">
        <f t="shared" si="3"/>
        <v>#N/A</v>
      </c>
      <c r="X96" s="100" t="e">
        <f t="shared" si="3"/>
        <v>#N/A</v>
      </c>
      <c r="Y96" s="100" t="e">
        <f t="shared" si="3"/>
        <v>#N/A</v>
      </c>
      <c r="Z96" s="100">
        <f t="shared" si="3"/>
        <v>4332767.8599999994</v>
      </c>
      <c r="AA96" s="100">
        <f t="shared" si="3"/>
        <v>4496230.0000000009</v>
      </c>
      <c r="AB96" s="100">
        <f t="shared" si="3"/>
        <v>5028576.6300000008</v>
      </c>
      <c r="AC96" s="100" t="e">
        <f t="shared" si="3"/>
        <v>#N/A</v>
      </c>
      <c r="AD96" s="100" t="e">
        <f t="shared" si="3"/>
        <v>#N/A</v>
      </c>
      <c r="AE96" s="100" t="e">
        <f t="shared" si="3"/>
        <v>#N/A</v>
      </c>
      <c r="AF96" s="100" t="e">
        <f t="shared" si="3"/>
        <v>#N/A</v>
      </c>
      <c r="AG96" s="100" t="e">
        <f t="shared" si="3"/>
        <v>#N/A</v>
      </c>
      <c r="AH96" s="100" t="e">
        <f t="shared" si="3"/>
        <v>#N/A</v>
      </c>
      <c r="AI96" s="100" t="e">
        <f t="shared" si="3"/>
        <v>#N/A</v>
      </c>
      <c r="AJ96" s="100" t="e">
        <f t="shared" si="3"/>
        <v>#N/A</v>
      </c>
      <c r="AK96" s="100" t="e">
        <f t="shared" si="3"/>
        <v>#N/A</v>
      </c>
      <c r="AL96" s="100" t="e">
        <f t="shared" si="3"/>
        <v>#N/A</v>
      </c>
      <c r="AM96" s="100" t="e">
        <f t="shared" si="3"/>
        <v>#N/A</v>
      </c>
      <c r="AN96" s="100" t="e">
        <f t="shared" si="3"/>
        <v>#N/A</v>
      </c>
      <c r="AO96" s="100" t="e">
        <f t="shared" si="3"/>
        <v>#N/A</v>
      </c>
      <c r="AP96" s="100" t="e">
        <f t="shared" si="3"/>
        <v>#N/A</v>
      </c>
      <c r="AQ96" s="100" t="e">
        <f t="shared" si="3"/>
        <v>#N/A</v>
      </c>
      <c r="AR96" s="100" t="e">
        <f t="shared" si="3"/>
        <v>#N/A</v>
      </c>
      <c r="AS96" s="100" t="e">
        <f t="shared" si="3"/>
        <v>#N/A</v>
      </c>
      <c r="AT96" s="100" t="e">
        <f t="shared" si="3"/>
        <v>#N/A</v>
      </c>
      <c r="AU96" s="100" t="e">
        <f t="shared" si="3"/>
        <v>#N/A</v>
      </c>
      <c r="AV96" s="100" t="e">
        <f t="shared" si="3"/>
        <v>#N/A</v>
      </c>
      <c r="AW96" s="100" t="e">
        <f t="shared" si="3"/>
        <v>#N/A</v>
      </c>
    </row>
    <row r="97" spans="1:49" x14ac:dyDescent="0.25">
      <c r="A97" s="98" t="s">
        <v>44</v>
      </c>
      <c r="B97" s="101" t="e">
        <f>IF(ISNA(B$93),NA(),B87)</f>
        <v>#N/A</v>
      </c>
      <c r="C97" s="101" t="e">
        <f t="shared" ref="C97:AW97" si="4">IF(ISNA(C$93),NA(),C87)</f>
        <v>#N/A</v>
      </c>
      <c r="D97" s="101" t="e">
        <f t="shared" si="4"/>
        <v>#N/A</v>
      </c>
      <c r="E97" s="101" t="e">
        <f t="shared" si="4"/>
        <v>#N/A</v>
      </c>
      <c r="F97" s="101" t="e">
        <f t="shared" si="4"/>
        <v>#N/A</v>
      </c>
      <c r="G97" s="101" t="e">
        <f t="shared" si="4"/>
        <v>#N/A</v>
      </c>
      <c r="H97" s="101" t="e">
        <f t="shared" si="4"/>
        <v>#N/A</v>
      </c>
      <c r="I97" s="101" t="e">
        <f t="shared" si="4"/>
        <v>#N/A</v>
      </c>
      <c r="J97" s="101" t="e">
        <f t="shared" si="4"/>
        <v>#N/A</v>
      </c>
      <c r="K97" s="101" t="e">
        <f t="shared" si="4"/>
        <v>#N/A</v>
      </c>
      <c r="L97" s="101" t="e">
        <f t="shared" si="4"/>
        <v>#N/A</v>
      </c>
      <c r="M97" s="101" t="e">
        <f t="shared" si="4"/>
        <v>#N/A</v>
      </c>
      <c r="N97" s="101" t="e">
        <f t="shared" si="4"/>
        <v>#N/A</v>
      </c>
      <c r="O97" s="101" t="e">
        <f t="shared" si="4"/>
        <v>#N/A</v>
      </c>
      <c r="P97" s="101" t="e">
        <f t="shared" si="4"/>
        <v>#N/A</v>
      </c>
      <c r="Q97" s="101" t="e">
        <f t="shared" si="4"/>
        <v>#N/A</v>
      </c>
      <c r="R97" s="101" t="e">
        <f t="shared" si="4"/>
        <v>#N/A</v>
      </c>
      <c r="S97" s="101" t="e">
        <f t="shared" si="4"/>
        <v>#N/A</v>
      </c>
      <c r="T97" s="101" t="e">
        <f t="shared" si="4"/>
        <v>#N/A</v>
      </c>
      <c r="U97" s="101" t="e">
        <f t="shared" si="4"/>
        <v>#N/A</v>
      </c>
      <c r="V97" s="101" t="e">
        <f t="shared" si="4"/>
        <v>#N/A</v>
      </c>
      <c r="W97" s="101" t="e">
        <f t="shared" si="4"/>
        <v>#N/A</v>
      </c>
      <c r="X97" s="101" t="e">
        <f t="shared" si="4"/>
        <v>#N/A</v>
      </c>
      <c r="Y97" s="101" t="e">
        <f t="shared" si="4"/>
        <v>#N/A</v>
      </c>
      <c r="Z97" s="101">
        <f t="shared" si="4"/>
        <v>0.75033914791375222</v>
      </c>
      <c r="AA97" s="101">
        <f t="shared" si="4"/>
        <v>0.83355268434292218</v>
      </c>
      <c r="AB97" s="101">
        <f t="shared" si="4"/>
        <v>0.92541890766854673</v>
      </c>
      <c r="AC97" s="101" t="e">
        <f t="shared" si="4"/>
        <v>#N/A</v>
      </c>
      <c r="AD97" s="101" t="e">
        <f t="shared" si="4"/>
        <v>#N/A</v>
      </c>
      <c r="AE97" s="101" t="e">
        <f t="shared" si="4"/>
        <v>#N/A</v>
      </c>
      <c r="AF97" s="101" t="e">
        <f t="shared" si="4"/>
        <v>#N/A</v>
      </c>
      <c r="AG97" s="101" t="e">
        <f t="shared" si="4"/>
        <v>#N/A</v>
      </c>
      <c r="AH97" s="101" t="e">
        <f t="shared" si="4"/>
        <v>#N/A</v>
      </c>
      <c r="AI97" s="101" t="e">
        <f t="shared" si="4"/>
        <v>#N/A</v>
      </c>
      <c r="AJ97" s="101" t="e">
        <f t="shared" si="4"/>
        <v>#N/A</v>
      </c>
      <c r="AK97" s="101" t="e">
        <f t="shared" si="4"/>
        <v>#N/A</v>
      </c>
      <c r="AL97" s="101" t="e">
        <f t="shared" si="4"/>
        <v>#N/A</v>
      </c>
      <c r="AM97" s="101" t="e">
        <f t="shared" si="4"/>
        <v>#N/A</v>
      </c>
      <c r="AN97" s="101" t="e">
        <f t="shared" si="4"/>
        <v>#N/A</v>
      </c>
      <c r="AO97" s="101" t="e">
        <f t="shared" si="4"/>
        <v>#N/A</v>
      </c>
      <c r="AP97" s="101" t="e">
        <f t="shared" si="4"/>
        <v>#N/A</v>
      </c>
      <c r="AQ97" s="101" t="e">
        <f t="shared" si="4"/>
        <v>#N/A</v>
      </c>
      <c r="AR97" s="101" t="e">
        <f t="shared" si="4"/>
        <v>#N/A</v>
      </c>
      <c r="AS97" s="101" t="e">
        <f t="shared" si="4"/>
        <v>#N/A</v>
      </c>
      <c r="AT97" s="101" t="e">
        <f t="shared" si="4"/>
        <v>#N/A</v>
      </c>
      <c r="AU97" s="101" t="e">
        <f t="shared" si="4"/>
        <v>#N/A</v>
      </c>
      <c r="AV97" s="101" t="e">
        <f t="shared" si="4"/>
        <v>#N/A</v>
      </c>
      <c r="AW97" s="101" t="e">
        <f t="shared" si="4"/>
        <v>#N/A</v>
      </c>
    </row>
    <row r="98" spans="1:49" x14ac:dyDescent="0.25">
      <c r="A98" s="98" t="s">
        <v>45</v>
      </c>
      <c r="B98" s="100" t="e">
        <f>IF(ISNA(B$93),NA(),B88)</f>
        <v>#N/A</v>
      </c>
      <c r="C98" s="100" t="e">
        <f t="shared" ref="C98:AW98" si="5">IF(ISNA(C$93),NA(),C88)</f>
        <v>#N/A</v>
      </c>
      <c r="D98" s="100" t="e">
        <f t="shared" si="5"/>
        <v>#N/A</v>
      </c>
      <c r="E98" s="100" t="e">
        <f t="shared" si="5"/>
        <v>#N/A</v>
      </c>
      <c r="F98" s="100" t="e">
        <f t="shared" si="5"/>
        <v>#N/A</v>
      </c>
      <c r="G98" s="100" t="e">
        <f t="shared" si="5"/>
        <v>#N/A</v>
      </c>
      <c r="H98" s="100" t="e">
        <f t="shared" si="5"/>
        <v>#N/A</v>
      </c>
      <c r="I98" s="100" t="e">
        <f t="shared" si="5"/>
        <v>#N/A</v>
      </c>
      <c r="J98" s="100" t="e">
        <f t="shared" si="5"/>
        <v>#N/A</v>
      </c>
      <c r="K98" s="100" t="e">
        <f t="shared" si="5"/>
        <v>#N/A</v>
      </c>
      <c r="L98" s="100" t="e">
        <f t="shared" si="5"/>
        <v>#N/A</v>
      </c>
      <c r="M98" s="100" t="e">
        <f t="shared" si="5"/>
        <v>#N/A</v>
      </c>
      <c r="N98" s="100" t="e">
        <f t="shared" si="5"/>
        <v>#N/A</v>
      </c>
      <c r="O98" s="100" t="e">
        <f t="shared" si="5"/>
        <v>#N/A</v>
      </c>
      <c r="P98" s="100" t="e">
        <f t="shared" si="5"/>
        <v>#N/A</v>
      </c>
      <c r="Q98" s="100" t="e">
        <f t="shared" si="5"/>
        <v>#N/A</v>
      </c>
      <c r="R98" s="100" t="e">
        <f t="shared" si="5"/>
        <v>#N/A</v>
      </c>
      <c r="S98" s="100" t="e">
        <f t="shared" si="5"/>
        <v>#N/A</v>
      </c>
      <c r="T98" s="100" t="e">
        <f t="shared" si="5"/>
        <v>#N/A</v>
      </c>
      <c r="U98" s="100" t="e">
        <f t="shared" si="5"/>
        <v>#N/A</v>
      </c>
      <c r="V98" s="100" t="e">
        <f t="shared" si="5"/>
        <v>#N/A</v>
      </c>
      <c r="W98" s="100" t="e">
        <f t="shared" si="5"/>
        <v>#N/A</v>
      </c>
      <c r="X98" s="100" t="e">
        <f t="shared" si="5"/>
        <v>#N/A</v>
      </c>
      <c r="Y98" s="100" t="e">
        <f t="shared" si="5"/>
        <v>#N/A</v>
      </c>
      <c r="Z98" s="100">
        <f t="shared" si="5"/>
        <v>32806895.070000004</v>
      </c>
      <c r="AA98" s="100">
        <f t="shared" si="5"/>
        <v>33619689.769999996</v>
      </c>
      <c r="AB98" s="100">
        <f t="shared" si="5"/>
        <v>33976662.379999995</v>
      </c>
      <c r="AC98" s="100" t="e">
        <f t="shared" si="5"/>
        <v>#N/A</v>
      </c>
      <c r="AD98" s="100" t="e">
        <f t="shared" si="5"/>
        <v>#N/A</v>
      </c>
      <c r="AE98" s="100" t="e">
        <f t="shared" si="5"/>
        <v>#N/A</v>
      </c>
      <c r="AF98" s="100" t="e">
        <f t="shared" si="5"/>
        <v>#N/A</v>
      </c>
      <c r="AG98" s="100" t="e">
        <f t="shared" si="5"/>
        <v>#N/A</v>
      </c>
      <c r="AH98" s="100" t="e">
        <f t="shared" si="5"/>
        <v>#N/A</v>
      </c>
      <c r="AI98" s="100" t="e">
        <f t="shared" si="5"/>
        <v>#N/A</v>
      </c>
      <c r="AJ98" s="100" t="e">
        <f t="shared" si="5"/>
        <v>#N/A</v>
      </c>
      <c r="AK98" s="100" t="e">
        <f t="shared" si="5"/>
        <v>#N/A</v>
      </c>
      <c r="AL98" s="100" t="e">
        <f t="shared" si="5"/>
        <v>#N/A</v>
      </c>
      <c r="AM98" s="100" t="e">
        <f t="shared" si="5"/>
        <v>#N/A</v>
      </c>
      <c r="AN98" s="100" t="e">
        <f t="shared" si="5"/>
        <v>#N/A</v>
      </c>
      <c r="AO98" s="100" t="e">
        <f t="shared" si="5"/>
        <v>#N/A</v>
      </c>
      <c r="AP98" s="100" t="e">
        <f t="shared" si="5"/>
        <v>#N/A</v>
      </c>
      <c r="AQ98" s="100" t="e">
        <f t="shared" si="5"/>
        <v>#N/A</v>
      </c>
      <c r="AR98" s="100" t="e">
        <f t="shared" si="5"/>
        <v>#N/A</v>
      </c>
      <c r="AS98" s="100" t="e">
        <f t="shared" si="5"/>
        <v>#N/A</v>
      </c>
      <c r="AT98" s="100" t="e">
        <f t="shared" si="5"/>
        <v>#N/A</v>
      </c>
      <c r="AU98" s="100" t="e">
        <f t="shared" si="5"/>
        <v>#N/A</v>
      </c>
      <c r="AV98" s="100" t="e">
        <f t="shared" si="5"/>
        <v>#N/A</v>
      </c>
      <c r="AW98" s="100" t="e">
        <f t="shared" si="5"/>
        <v>#N/A</v>
      </c>
    </row>
    <row r="99" spans="1:49" x14ac:dyDescent="0.25">
      <c r="A99" s="98" t="s">
        <v>20</v>
      </c>
      <c r="B99" s="101" t="e">
        <f>IF(ISNA(B$93),NA(),B89)</f>
        <v>#N/A</v>
      </c>
      <c r="C99" s="101" t="e">
        <f t="shared" ref="C99:AW99" si="6">IF(ISNA(C$93),NA(),C89)</f>
        <v>#N/A</v>
      </c>
      <c r="D99" s="101" t="e">
        <f t="shared" si="6"/>
        <v>#N/A</v>
      </c>
      <c r="E99" s="101" t="e">
        <f t="shared" si="6"/>
        <v>#N/A</v>
      </c>
      <c r="F99" s="101" t="e">
        <f t="shared" si="6"/>
        <v>#N/A</v>
      </c>
      <c r="G99" s="101" t="e">
        <f t="shared" si="6"/>
        <v>#N/A</v>
      </c>
      <c r="H99" s="101" t="e">
        <f t="shared" si="6"/>
        <v>#N/A</v>
      </c>
      <c r="I99" s="101" t="e">
        <f t="shared" si="6"/>
        <v>#N/A</v>
      </c>
      <c r="J99" s="101" t="e">
        <f t="shared" si="6"/>
        <v>#N/A</v>
      </c>
      <c r="K99" s="101" t="e">
        <f t="shared" si="6"/>
        <v>#N/A</v>
      </c>
      <c r="L99" s="101" t="e">
        <f t="shared" si="6"/>
        <v>#N/A</v>
      </c>
      <c r="M99" s="101" t="e">
        <f t="shared" si="6"/>
        <v>#N/A</v>
      </c>
      <c r="N99" s="101" t="e">
        <f t="shared" si="6"/>
        <v>#N/A</v>
      </c>
      <c r="O99" s="101" t="e">
        <f t="shared" si="6"/>
        <v>#N/A</v>
      </c>
      <c r="P99" s="101" t="e">
        <f t="shared" si="6"/>
        <v>#N/A</v>
      </c>
      <c r="Q99" s="101" t="e">
        <f t="shared" si="6"/>
        <v>#N/A</v>
      </c>
      <c r="R99" s="101" t="e">
        <f t="shared" si="6"/>
        <v>#N/A</v>
      </c>
      <c r="S99" s="101" t="e">
        <f t="shared" si="6"/>
        <v>#N/A</v>
      </c>
      <c r="T99" s="101" t="e">
        <f t="shared" si="6"/>
        <v>#N/A</v>
      </c>
      <c r="U99" s="101" t="e">
        <f t="shared" si="6"/>
        <v>#N/A</v>
      </c>
      <c r="V99" s="101" t="e">
        <f t="shared" si="6"/>
        <v>#N/A</v>
      </c>
      <c r="W99" s="101" t="e">
        <f t="shared" si="6"/>
        <v>#N/A</v>
      </c>
      <c r="X99" s="101" t="e">
        <f t="shared" si="6"/>
        <v>#N/A</v>
      </c>
      <c r="Y99" s="101" t="e">
        <f t="shared" si="6"/>
        <v>#N/A</v>
      </c>
      <c r="Z99" s="101">
        <f t="shared" si="6"/>
        <v>0.43799031967541152</v>
      </c>
      <c r="AA99" s="101">
        <f t="shared" si="6"/>
        <v>0.40259132705074119</v>
      </c>
      <c r="AB99" s="101">
        <f t="shared" si="6"/>
        <v>0.4952538448826671</v>
      </c>
      <c r="AC99" s="101" t="e">
        <f t="shared" si="6"/>
        <v>#N/A</v>
      </c>
      <c r="AD99" s="101" t="e">
        <f t="shared" si="6"/>
        <v>#N/A</v>
      </c>
      <c r="AE99" s="101" t="e">
        <f t="shared" si="6"/>
        <v>#N/A</v>
      </c>
      <c r="AF99" s="101" t="e">
        <f t="shared" si="6"/>
        <v>#N/A</v>
      </c>
      <c r="AG99" s="101" t="e">
        <f t="shared" si="6"/>
        <v>#N/A</v>
      </c>
      <c r="AH99" s="101" t="e">
        <f t="shared" si="6"/>
        <v>#N/A</v>
      </c>
      <c r="AI99" s="101" t="e">
        <f t="shared" si="6"/>
        <v>#N/A</v>
      </c>
      <c r="AJ99" s="101" t="e">
        <f t="shared" si="6"/>
        <v>#N/A</v>
      </c>
      <c r="AK99" s="101" t="e">
        <f t="shared" si="6"/>
        <v>#N/A</v>
      </c>
      <c r="AL99" s="101" t="e">
        <f t="shared" si="6"/>
        <v>#N/A</v>
      </c>
      <c r="AM99" s="101" t="e">
        <f t="shared" si="6"/>
        <v>#N/A</v>
      </c>
      <c r="AN99" s="101" t="e">
        <f t="shared" si="6"/>
        <v>#N/A</v>
      </c>
      <c r="AO99" s="101" t="e">
        <f t="shared" si="6"/>
        <v>#N/A</v>
      </c>
      <c r="AP99" s="101" t="e">
        <f t="shared" si="6"/>
        <v>#N/A</v>
      </c>
      <c r="AQ99" s="101" t="e">
        <f t="shared" si="6"/>
        <v>#N/A</v>
      </c>
      <c r="AR99" s="101" t="e">
        <f t="shared" si="6"/>
        <v>#N/A</v>
      </c>
      <c r="AS99" s="101" t="e">
        <f t="shared" si="6"/>
        <v>#N/A</v>
      </c>
      <c r="AT99" s="101" t="e">
        <f t="shared" si="6"/>
        <v>#N/A</v>
      </c>
      <c r="AU99" s="101" t="e">
        <f t="shared" si="6"/>
        <v>#N/A</v>
      </c>
      <c r="AV99" s="101" t="e">
        <f t="shared" si="6"/>
        <v>#N/A</v>
      </c>
      <c r="AW99" s="101" t="e">
        <f t="shared" si="6"/>
        <v>#N/A</v>
      </c>
    </row>
    <row r="100" spans="1:49" x14ac:dyDescent="0.25">
      <c r="A100" s="98" t="s">
        <v>46</v>
      </c>
      <c r="B100" s="100" t="e">
        <f>IF(ISNA(B$93),NA(),B90)</f>
        <v>#N/A</v>
      </c>
      <c r="C100" s="100" t="e">
        <f t="shared" ref="C100:AW100" si="7">IF(ISNA(C$93),NA(),C90)</f>
        <v>#N/A</v>
      </c>
      <c r="D100" s="100" t="e">
        <f t="shared" si="7"/>
        <v>#N/A</v>
      </c>
      <c r="E100" s="100" t="e">
        <f t="shared" si="7"/>
        <v>#N/A</v>
      </c>
      <c r="F100" s="100" t="e">
        <f t="shared" si="7"/>
        <v>#N/A</v>
      </c>
      <c r="G100" s="100" t="e">
        <f t="shared" si="7"/>
        <v>#N/A</v>
      </c>
      <c r="H100" s="100" t="e">
        <f t="shared" si="7"/>
        <v>#N/A</v>
      </c>
      <c r="I100" s="100" t="e">
        <f t="shared" si="7"/>
        <v>#N/A</v>
      </c>
      <c r="J100" s="100" t="e">
        <f t="shared" si="7"/>
        <v>#N/A</v>
      </c>
      <c r="K100" s="100" t="e">
        <f t="shared" si="7"/>
        <v>#N/A</v>
      </c>
      <c r="L100" s="100" t="e">
        <f t="shared" si="7"/>
        <v>#N/A</v>
      </c>
      <c r="M100" s="100" t="e">
        <f t="shared" si="7"/>
        <v>#N/A</v>
      </c>
      <c r="N100" s="100" t="e">
        <f t="shared" si="7"/>
        <v>#N/A</v>
      </c>
      <c r="O100" s="100" t="e">
        <f t="shared" si="7"/>
        <v>#N/A</v>
      </c>
      <c r="P100" s="100" t="e">
        <f t="shared" si="7"/>
        <v>#N/A</v>
      </c>
      <c r="Q100" s="100" t="e">
        <f t="shared" si="7"/>
        <v>#N/A</v>
      </c>
      <c r="R100" s="100" t="e">
        <f t="shared" si="7"/>
        <v>#N/A</v>
      </c>
      <c r="S100" s="100" t="e">
        <f t="shared" si="7"/>
        <v>#N/A</v>
      </c>
      <c r="T100" s="100" t="e">
        <f t="shared" si="7"/>
        <v>#N/A</v>
      </c>
      <c r="U100" s="100" t="e">
        <f t="shared" si="7"/>
        <v>#N/A</v>
      </c>
      <c r="V100" s="100" t="e">
        <f t="shared" si="7"/>
        <v>#N/A</v>
      </c>
      <c r="W100" s="100" t="e">
        <f t="shared" si="7"/>
        <v>#N/A</v>
      </c>
      <c r="X100" s="100" t="e">
        <f t="shared" si="7"/>
        <v>#N/A</v>
      </c>
      <c r="Y100" s="100" t="e">
        <f t="shared" si="7"/>
        <v>#N/A</v>
      </c>
      <c r="Z100" s="100">
        <f t="shared" si="7"/>
        <v>23310</v>
      </c>
      <c r="AA100" s="100">
        <f t="shared" si="7"/>
        <v>23410</v>
      </c>
      <c r="AB100" s="100">
        <f t="shared" si="7"/>
        <v>23498</v>
      </c>
      <c r="AC100" s="100" t="e">
        <f t="shared" si="7"/>
        <v>#N/A</v>
      </c>
      <c r="AD100" s="100" t="e">
        <f t="shared" si="7"/>
        <v>#N/A</v>
      </c>
      <c r="AE100" s="100" t="e">
        <f t="shared" si="7"/>
        <v>#N/A</v>
      </c>
      <c r="AF100" s="100" t="e">
        <f t="shared" si="7"/>
        <v>#N/A</v>
      </c>
      <c r="AG100" s="100" t="e">
        <f t="shared" si="7"/>
        <v>#N/A</v>
      </c>
      <c r="AH100" s="100" t="e">
        <f t="shared" si="7"/>
        <v>#N/A</v>
      </c>
      <c r="AI100" s="100" t="e">
        <f t="shared" si="7"/>
        <v>#N/A</v>
      </c>
      <c r="AJ100" s="100" t="e">
        <f t="shared" si="7"/>
        <v>#N/A</v>
      </c>
      <c r="AK100" s="100" t="e">
        <f t="shared" si="7"/>
        <v>#N/A</v>
      </c>
      <c r="AL100" s="100" t="e">
        <f t="shared" si="7"/>
        <v>#N/A</v>
      </c>
      <c r="AM100" s="100" t="e">
        <f t="shared" si="7"/>
        <v>#N/A</v>
      </c>
      <c r="AN100" s="100" t="e">
        <f t="shared" si="7"/>
        <v>#N/A</v>
      </c>
      <c r="AO100" s="100" t="e">
        <f t="shared" si="7"/>
        <v>#N/A</v>
      </c>
      <c r="AP100" s="100" t="e">
        <f t="shared" si="7"/>
        <v>#N/A</v>
      </c>
      <c r="AQ100" s="100" t="e">
        <f t="shared" si="7"/>
        <v>#N/A</v>
      </c>
      <c r="AR100" s="100" t="e">
        <f t="shared" si="7"/>
        <v>#N/A</v>
      </c>
      <c r="AS100" s="100" t="e">
        <f t="shared" si="7"/>
        <v>#N/A</v>
      </c>
      <c r="AT100" s="100" t="e">
        <f t="shared" si="7"/>
        <v>#N/A</v>
      </c>
      <c r="AU100" s="100" t="e">
        <f t="shared" si="7"/>
        <v>#N/A</v>
      </c>
      <c r="AV100" s="100" t="e">
        <f t="shared" si="7"/>
        <v>#N/A</v>
      </c>
      <c r="AW100" s="100" t="e">
        <f t="shared" si="7"/>
        <v>#N/A</v>
      </c>
    </row>
    <row r="101" spans="1:49" x14ac:dyDescent="0.25">
      <c r="A101" s="98" t="s">
        <v>52</v>
      </c>
      <c r="B101" s="109">
        <f>IFERROR(IF($B$4="ALL",INDEX('Billing &amp; Collection'!$57:$57,MATCH(B$83,'Billing &amp; Collection'!$4:$4,0)),INDEX('Billing &amp; Collection'!$53:$56,MATCH($B$4,'Billing &amp; Collection'!$A$53:$A$56,0),MATCH(B$83,'Billing &amp; Collection'!$4:$4,0))),NA())</f>
        <v>8.7649710736516813</v>
      </c>
      <c r="C101" s="109">
        <f>IFERROR(IF($B$4="ALL",INDEX('Billing &amp; Collection'!$57:$57,MATCH(C$83,'Billing &amp; Collection'!$4:$4,0)),INDEX('Billing &amp; Collection'!$53:$56,MATCH($B$4,'Billing &amp; Collection'!$A$53:$A$56,0),MATCH(C$83,'Billing &amp; Collection'!$4:$4,0))),NA())</f>
        <v>9.232641583746485</v>
      </c>
      <c r="D101" s="109">
        <f>IFERROR(IF($B$4="ALL",INDEX('Billing &amp; Collection'!$57:$57,MATCH(D$83,'Billing &amp; Collection'!$4:$4,0)),INDEX('Billing &amp; Collection'!$53:$56,MATCH($B$4,'Billing &amp; Collection'!$A$53:$A$56,0),MATCH(D$83,'Billing &amp; Collection'!$4:$4,0))),NA())</f>
        <v>9.6921769292021533</v>
      </c>
      <c r="E101" s="109">
        <f>IFERROR(IF($B$4="ALL",INDEX('Billing &amp; Collection'!$57:$57,MATCH(E$83,'Billing &amp; Collection'!$4:$4,0)),INDEX('Billing &amp; Collection'!$53:$56,MATCH($B$4,'Billing &amp; Collection'!$A$53:$A$56,0),MATCH(E$83,'Billing &amp; Collection'!$4:$4,0))),NA())</f>
        <v>5.3913275799290759</v>
      </c>
      <c r="F101" s="109">
        <f>IFERROR(IF($B$4="ALL",INDEX('Billing &amp; Collection'!$57:$57,MATCH(F$83,'Billing &amp; Collection'!$4:$4,0)),INDEX('Billing &amp; Collection'!$53:$56,MATCH($B$4,'Billing &amp; Collection'!$A$53:$A$56,0),MATCH(F$83,'Billing &amp; Collection'!$4:$4,0))),NA())</f>
        <v>6.0540263232000058</v>
      </c>
      <c r="G101" s="109">
        <f>IFERROR(IF($B$4="ALL",INDEX('Billing &amp; Collection'!$57:$57,MATCH(G$83,'Billing &amp; Collection'!$4:$4,0)),INDEX('Billing &amp; Collection'!$53:$56,MATCH($B$4,'Billing &amp; Collection'!$A$53:$A$56,0),MATCH(G$83,'Billing &amp; Collection'!$4:$4,0))),NA())</f>
        <v>5.924216330413584</v>
      </c>
      <c r="H101" s="109">
        <f>IFERROR(IF($B$4="ALL",INDEX('Billing &amp; Collection'!$57:$57,MATCH(H$83,'Billing &amp; Collection'!$4:$4,0)),INDEX('Billing &amp; Collection'!$53:$56,MATCH($B$4,'Billing &amp; Collection'!$A$53:$A$56,0),MATCH(H$83,'Billing &amp; Collection'!$4:$4,0))),NA())</f>
        <v>5.7810718706614468</v>
      </c>
      <c r="I101" s="109">
        <f>IFERROR(IF($B$4="ALL",INDEX('Billing &amp; Collection'!$57:$57,MATCH(I$83,'Billing &amp; Collection'!$4:$4,0)),INDEX('Billing &amp; Collection'!$53:$56,MATCH($B$4,'Billing &amp; Collection'!$A$53:$A$56,0),MATCH(I$83,'Billing &amp; Collection'!$4:$4,0))),NA())</f>
        <v>5.6043086182730901</v>
      </c>
      <c r="J101" s="109">
        <f>IFERROR(IF($B$4="ALL",INDEX('Billing &amp; Collection'!$57:$57,MATCH(J$83,'Billing &amp; Collection'!$4:$4,0)),INDEX('Billing &amp; Collection'!$53:$56,MATCH($B$4,'Billing &amp; Collection'!$A$53:$A$56,0),MATCH(J$83,'Billing &amp; Collection'!$4:$4,0))),NA())</f>
        <v>5.9983206167357439</v>
      </c>
      <c r="K101" s="109">
        <f>IFERROR(IF($B$4="ALL",INDEX('Billing &amp; Collection'!$57:$57,MATCH(K$83,'Billing &amp; Collection'!$4:$4,0)),INDEX('Billing &amp; Collection'!$53:$56,MATCH($B$4,'Billing &amp; Collection'!$A$53:$A$56,0),MATCH(K$83,'Billing &amp; Collection'!$4:$4,0))),NA())</f>
        <v>5.2737721266446886</v>
      </c>
      <c r="L101" s="109">
        <f>IFERROR(IF($B$4="ALL",INDEX('Billing &amp; Collection'!$57:$57,MATCH(L$83,'Billing &amp; Collection'!$4:$4,0)),INDEX('Billing &amp; Collection'!$53:$56,MATCH($B$4,'Billing &amp; Collection'!$A$53:$A$56,0),MATCH(L$83,'Billing &amp; Collection'!$4:$4,0))),NA())</f>
        <v>5.6298731909423791</v>
      </c>
      <c r="M101" s="109">
        <f>IFERROR(IF($B$4="ALL",INDEX('Billing &amp; Collection'!$57:$57,MATCH(M$83,'Billing &amp; Collection'!$4:$4,0)),INDEX('Billing &amp; Collection'!$53:$56,MATCH($B$4,'Billing &amp; Collection'!$A$53:$A$56,0),MATCH(M$83,'Billing &amp; Collection'!$4:$4,0))),NA())</f>
        <v>5.8851463836993476</v>
      </c>
      <c r="N101" s="109">
        <f>IFERROR(IF($B$4="ALL",INDEX('Billing &amp; Collection'!$57:$57,MATCH(N$83,'Billing &amp; Collection'!$4:$4,0)),INDEX('Billing &amp; Collection'!$53:$56,MATCH($B$4,'Billing &amp; Collection'!$A$53:$A$56,0),MATCH(N$83,'Billing &amp; Collection'!$4:$4,0))),NA())</f>
        <v>5.4272830340991298</v>
      </c>
      <c r="O101" s="109">
        <f>IFERROR(IF($B$4="ALL",INDEX('Billing &amp; Collection'!$57:$57,MATCH(O$83,'Billing &amp; Collection'!$4:$4,0)),INDEX('Billing &amp; Collection'!$53:$56,MATCH($B$4,'Billing &amp; Collection'!$A$53:$A$56,0),MATCH(O$83,'Billing &amp; Collection'!$4:$4,0))),NA())</f>
        <v>6.0283949173623181</v>
      </c>
      <c r="P101" s="109">
        <f>IFERROR(IF($B$4="ALL",INDEX('Billing &amp; Collection'!$57:$57,MATCH(P$83,'Billing &amp; Collection'!$4:$4,0)),INDEX('Billing &amp; Collection'!$53:$56,MATCH($B$4,'Billing &amp; Collection'!$A$53:$A$56,0),MATCH(P$83,'Billing &amp; Collection'!$4:$4,0))),NA())</f>
        <v>5.8703599629618637</v>
      </c>
      <c r="Q101" s="109">
        <f>IFERROR(IF($B$4="ALL",INDEX('Billing &amp; Collection'!$57:$57,MATCH(Q$83,'Billing &amp; Collection'!$4:$4,0)),INDEX('Billing &amp; Collection'!$53:$56,MATCH($B$4,'Billing &amp; Collection'!$A$53:$A$56,0),MATCH(Q$83,'Billing &amp; Collection'!$4:$4,0))),NA())</f>
        <v>6.3200401733801632</v>
      </c>
      <c r="R101" s="109">
        <f>IFERROR(IF($B$4="ALL",INDEX('Billing &amp; Collection'!$57:$57,MATCH(R$83,'Billing &amp; Collection'!$4:$4,0)),INDEX('Billing &amp; Collection'!$53:$56,MATCH($B$4,'Billing &amp; Collection'!$A$53:$A$56,0),MATCH(R$83,'Billing &amp; Collection'!$4:$4,0))),NA())</f>
        <v>6.1429538818225264</v>
      </c>
      <c r="S101" s="109">
        <f>IFERROR(IF($B$4="ALL",INDEX('Billing &amp; Collection'!$57:$57,MATCH(S$83,'Billing &amp; Collection'!$4:$4,0)),INDEX('Billing &amp; Collection'!$53:$56,MATCH($B$4,'Billing &amp; Collection'!$A$53:$A$56,0),MATCH(S$83,'Billing &amp; Collection'!$4:$4,0))),NA())</f>
        <v>6.1680316904505448</v>
      </c>
      <c r="T101" s="109">
        <f>IFERROR(IF($B$4="ALL",INDEX('Billing &amp; Collection'!$57:$57,MATCH(T$83,'Billing &amp; Collection'!$4:$4,0)),INDEX('Billing &amp; Collection'!$53:$56,MATCH($B$4,'Billing &amp; Collection'!$A$53:$A$56,0),MATCH(T$83,'Billing &amp; Collection'!$4:$4,0))),NA())</f>
        <v>7.3564215279518868</v>
      </c>
      <c r="U101" s="109">
        <f>IFERROR(IF($B$4="ALL",INDEX('Billing &amp; Collection'!$57:$57,MATCH(U$83,'Billing &amp; Collection'!$4:$4,0)),INDEX('Billing &amp; Collection'!$53:$56,MATCH($B$4,'Billing &amp; Collection'!$A$53:$A$56,0),MATCH(U$83,'Billing &amp; Collection'!$4:$4,0))),NA())</f>
        <v>6.8593113936791532</v>
      </c>
      <c r="V101" s="109">
        <f>IFERROR(IF($B$4="ALL",INDEX('Billing &amp; Collection'!$57:$57,MATCH(V$83,'Billing &amp; Collection'!$4:$4,0)),INDEX('Billing &amp; Collection'!$53:$56,MATCH($B$4,'Billing &amp; Collection'!$A$53:$A$56,0),MATCH(V$83,'Billing &amp; Collection'!$4:$4,0))),NA())</f>
        <v>6.3040906315743674</v>
      </c>
      <c r="W101" s="109">
        <f>IFERROR(IF($B$4="ALL",INDEX('Billing &amp; Collection'!$57:$57,MATCH(W$83,'Billing &amp; Collection'!$4:$4,0)),INDEX('Billing &amp; Collection'!$53:$56,MATCH($B$4,'Billing &amp; Collection'!$A$53:$A$56,0),MATCH(W$83,'Billing &amp; Collection'!$4:$4,0))),NA())</f>
        <v>6.4088439273144697</v>
      </c>
      <c r="X101" s="109">
        <f>IFERROR(IF($B$4="ALL",INDEX('Billing &amp; Collection'!$57:$57,MATCH(X$83,'Billing &amp; Collection'!$4:$4,0)),INDEX('Billing &amp; Collection'!$53:$56,MATCH($B$4,'Billing &amp; Collection'!$A$53:$A$56,0),MATCH(X$83,'Billing &amp; Collection'!$4:$4,0))),NA())</f>
        <v>6.3261768432598915</v>
      </c>
      <c r="Y101" s="109">
        <f>IFERROR(IF($B$4="ALL",INDEX('Billing &amp; Collection'!$57:$57,MATCH(Y$83,'Billing &amp; Collection'!$4:$4,0)),INDEX('Billing &amp; Collection'!$53:$56,MATCH($B$4,'Billing &amp; Collection'!$A$53:$A$56,0),MATCH(Y$83,'Billing &amp; Collection'!$4:$4,0))),NA())</f>
        <v>6.8715515925322928</v>
      </c>
      <c r="Z101" s="109">
        <f>IFERROR(IF($B$4="ALL",INDEX('Billing &amp; Collection'!$57:$57,MATCH(Z$83,'Billing &amp; Collection'!$4:$4,0)),INDEX('Billing &amp; Collection'!$53:$56,MATCH($B$4,'Billing &amp; Collection'!$A$53:$A$56,0),MATCH(Z$83,'Billing &amp; Collection'!$4:$4,0))),NA())</f>
        <v>5.68142547395089</v>
      </c>
      <c r="AA101" s="109">
        <f>IFERROR(IF($B$4="ALL",INDEX('Billing &amp; Collection'!$57:$57,MATCH(AA$83,'Billing &amp; Collection'!$4:$4,0)),INDEX('Billing &amp; Collection'!$53:$56,MATCH($B$4,'Billing &amp; Collection'!$A$53:$A$56,0),MATCH(AA$83,'Billing &amp; Collection'!$4:$4,0))),NA())</f>
        <v>6.2327288983347753</v>
      </c>
      <c r="AB101" s="109">
        <f>IFERROR(IF($B$4="ALL",INDEX('Billing &amp; Collection'!$57:$57,MATCH(AB$83,'Billing &amp; Collection'!$4:$4,0)),INDEX('Billing &amp; Collection'!$53:$56,MATCH($B$4,'Billing &amp; Collection'!$A$53:$A$56,0),MATCH(AB$83,'Billing &amp; Collection'!$4:$4,0))),NA())</f>
        <v>6.2527924101501853</v>
      </c>
      <c r="AC101" s="109" t="e">
        <f>IFERROR(IF($B$4="ALL",INDEX('Billing &amp; Collection'!$57:$57,MATCH(AC$83,'Billing &amp; Collection'!$4:$4,0)),INDEX('Billing &amp; Collection'!$53:$56,MATCH($B$4,'Billing &amp; Collection'!$A$53:$A$56,0),MATCH(AC$83,'Billing &amp; Collection'!$4:$4,0))),NA())</f>
        <v>#N/A</v>
      </c>
      <c r="AD101" s="109" t="e">
        <f>IFERROR(IF($B$4="ALL",INDEX('Billing &amp; Collection'!$57:$57,MATCH(AD$83,'Billing &amp; Collection'!$4:$4,0)),INDEX('Billing &amp; Collection'!$53:$56,MATCH($B$4,'Billing &amp; Collection'!$A$53:$A$56,0),MATCH(AD$83,'Billing &amp; Collection'!$4:$4,0))),NA())</f>
        <v>#N/A</v>
      </c>
      <c r="AE101" s="109" t="e">
        <f>IFERROR(IF($B$4="ALL",INDEX('Billing &amp; Collection'!$57:$57,MATCH(AE$83,'Billing &amp; Collection'!$4:$4,0)),INDEX('Billing &amp; Collection'!$53:$56,MATCH($B$4,'Billing &amp; Collection'!$A$53:$A$56,0),MATCH(AE$83,'Billing &amp; Collection'!$4:$4,0))),NA())</f>
        <v>#N/A</v>
      </c>
      <c r="AF101" s="109" t="e">
        <f>IFERROR(IF($B$4="ALL",INDEX('Billing &amp; Collection'!$57:$57,MATCH(AF$83,'Billing &amp; Collection'!$4:$4,0)),INDEX('Billing &amp; Collection'!$53:$56,MATCH($B$4,'Billing &amp; Collection'!$A$53:$A$56,0),MATCH(AF$83,'Billing &amp; Collection'!$4:$4,0))),NA())</f>
        <v>#N/A</v>
      </c>
      <c r="AG101" s="109" t="e">
        <f>IFERROR(IF($B$4="ALL",INDEX('Billing &amp; Collection'!$57:$57,MATCH(AG$83,'Billing &amp; Collection'!$4:$4,0)),INDEX('Billing &amp; Collection'!$53:$56,MATCH($B$4,'Billing &amp; Collection'!$A$53:$A$56,0),MATCH(AG$83,'Billing &amp; Collection'!$4:$4,0))),NA())</f>
        <v>#N/A</v>
      </c>
      <c r="AH101" s="109" t="e">
        <f>IFERROR(IF($B$4="ALL",INDEX('Billing &amp; Collection'!$57:$57,MATCH(AH$83,'Billing &amp; Collection'!$4:$4,0)),INDEX('Billing &amp; Collection'!$53:$56,MATCH($B$4,'Billing &amp; Collection'!$A$53:$A$56,0),MATCH(AH$83,'Billing &amp; Collection'!$4:$4,0))),NA())</f>
        <v>#N/A</v>
      </c>
      <c r="AI101" s="109" t="e">
        <f>IFERROR(IF($B$4="ALL",INDEX('Billing &amp; Collection'!$57:$57,MATCH(AI$83,'Billing &amp; Collection'!$4:$4,0)),INDEX('Billing &amp; Collection'!$53:$56,MATCH($B$4,'Billing &amp; Collection'!$A$53:$A$56,0),MATCH(AI$83,'Billing &amp; Collection'!$4:$4,0))),NA())</f>
        <v>#N/A</v>
      </c>
      <c r="AJ101" s="109" t="e">
        <f>IFERROR(IF($B$4="ALL",INDEX('Billing &amp; Collection'!$57:$57,MATCH(AJ$83,'Billing &amp; Collection'!$4:$4,0)),INDEX('Billing &amp; Collection'!$53:$56,MATCH($B$4,'Billing &amp; Collection'!$A$53:$A$56,0),MATCH(AJ$83,'Billing &amp; Collection'!$4:$4,0))),NA())</f>
        <v>#N/A</v>
      </c>
      <c r="AK101" s="109" t="e">
        <f>IFERROR(IF($B$4="ALL",INDEX('Billing &amp; Collection'!$57:$57,MATCH(AK$83,'Billing &amp; Collection'!$4:$4,0)),INDEX('Billing &amp; Collection'!$53:$56,MATCH($B$4,'Billing &amp; Collection'!$A$53:$A$56,0),MATCH(AK$83,'Billing &amp; Collection'!$4:$4,0))),NA())</f>
        <v>#N/A</v>
      </c>
      <c r="AL101" s="109" t="e">
        <f>IFERROR(IF($B$4="ALL",INDEX('Billing &amp; Collection'!$57:$57,MATCH(AL$83,'Billing &amp; Collection'!$4:$4,0)),INDEX('Billing &amp; Collection'!$53:$56,MATCH($B$4,'Billing &amp; Collection'!$A$53:$A$56,0),MATCH(AL$83,'Billing &amp; Collection'!$4:$4,0))),NA())</f>
        <v>#N/A</v>
      </c>
      <c r="AM101" s="109" t="e">
        <f>IFERROR(IF($B$4="ALL",INDEX('Billing &amp; Collection'!$57:$57,MATCH(AM$83,'Billing &amp; Collection'!$4:$4,0)),INDEX('Billing &amp; Collection'!$53:$56,MATCH($B$4,'Billing &amp; Collection'!$A$53:$A$56,0),MATCH(AM$83,'Billing &amp; Collection'!$4:$4,0))),NA())</f>
        <v>#N/A</v>
      </c>
      <c r="AN101" s="109" t="e">
        <f>IFERROR(IF($B$4="ALL",INDEX('Billing &amp; Collection'!$57:$57,MATCH(AN$83,'Billing &amp; Collection'!$4:$4,0)),INDEX('Billing &amp; Collection'!$53:$56,MATCH($B$4,'Billing &amp; Collection'!$A$53:$A$56,0),MATCH(AN$83,'Billing &amp; Collection'!$4:$4,0))),NA())</f>
        <v>#N/A</v>
      </c>
      <c r="AO101" s="109" t="e">
        <f>IFERROR(IF($B$4="ALL",INDEX('Billing &amp; Collection'!$57:$57,MATCH(AO$83,'Billing &amp; Collection'!$4:$4,0)),INDEX('Billing &amp; Collection'!$53:$56,MATCH($B$4,'Billing &amp; Collection'!$A$53:$A$56,0),MATCH(AO$83,'Billing &amp; Collection'!$4:$4,0))),NA())</f>
        <v>#N/A</v>
      </c>
      <c r="AP101" s="109" t="e">
        <f>IFERROR(IF($B$4="ALL",INDEX('Billing &amp; Collection'!$57:$57,MATCH(AP$83,'Billing &amp; Collection'!$4:$4,0)),INDEX('Billing &amp; Collection'!$53:$56,MATCH($B$4,'Billing &amp; Collection'!$A$53:$A$56,0),MATCH(AP$83,'Billing &amp; Collection'!$4:$4,0))),NA())</f>
        <v>#N/A</v>
      </c>
      <c r="AQ101" s="109" t="e">
        <f>IFERROR(IF($B$4="ALL",INDEX('Billing &amp; Collection'!$57:$57,MATCH(AQ$83,'Billing &amp; Collection'!$4:$4,0)),INDEX('Billing &amp; Collection'!$53:$56,MATCH($B$4,'Billing &amp; Collection'!$A$53:$A$56,0),MATCH(AQ$83,'Billing &amp; Collection'!$4:$4,0))),NA())</f>
        <v>#N/A</v>
      </c>
      <c r="AR101" s="109" t="e">
        <f>IFERROR(IF($B$4="ALL",INDEX('Billing &amp; Collection'!$57:$57,MATCH(AR$83,'Billing &amp; Collection'!$4:$4,0)),INDEX('Billing &amp; Collection'!$53:$56,MATCH($B$4,'Billing &amp; Collection'!$A$53:$A$56,0),MATCH(AR$83,'Billing &amp; Collection'!$4:$4,0))),NA())</f>
        <v>#N/A</v>
      </c>
      <c r="AS101" s="109" t="e">
        <f>IFERROR(IF($B$4="ALL",INDEX('Billing &amp; Collection'!$57:$57,MATCH(AS$83,'Billing &amp; Collection'!$4:$4,0)),INDEX('Billing &amp; Collection'!$53:$56,MATCH($B$4,'Billing &amp; Collection'!$A$53:$A$56,0),MATCH(AS$83,'Billing &amp; Collection'!$4:$4,0))),NA())</f>
        <v>#N/A</v>
      </c>
      <c r="AT101" s="109" t="e">
        <f>IFERROR(IF($B$4="ALL",INDEX('Billing &amp; Collection'!$57:$57,MATCH(AT$83,'Billing &amp; Collection'!$4:$4,0)),INDEX('Billing &amp; Collection'!$53:$56,MATCH($B$4,'Billing &amp; Collection'!$A$53:$A$56,0),MATCH(AT$83,'Billing &amp; Collection'!$4:$4,0))),NA())</f>
        <v>#N/A</v>
      </c>
      <c r="AU101" s="109" t="e">
        <f>IFERROR(IF($B$4="ALL",INDEX('Billing &amp; Collection'!$57:$57,MATCH(AU$83,'Billing &amp; Collection'!$4:$4,0)),INDEX('Billing &amp; Collection'!$53:$56,MATCH($B$4,'Billing &amp; Collection'!$A$53:$A$56,0),MATCH(AU$83,'Billing &amp; Collection'!$4:$4,0))),NA())</f>
        <v>#N/A</v>
      </c>
      <c r="AV101" s="109" t="e">
        <f>IFERROR(IF($B$4="ALL",INDEX('Billing &amp; Collection'!$57:$57,MATCH(AV$83,'Billing &amp; Collection'!$4:$4,0)),INDEX('Billing &amp; Collection'!$53:$56,MATCH($B$4,'Billing &amp; Collection'!$A$53:$A$56,0),MATCH(AV$83,'Billing &amp; Collection'!$4:$4,0))),NA())</f>
        <v>#N/A</v>
      </c>
      <c r="AW101" s="109" t="e">
        <f>IFERROR(IF($B$4="ALL",INDEX('Billing &amp; Collection'!$57:$57,MATCH(AW$83,'Billing &amp; Collection'!$4:$4,0)),INDEX('Billing &amp; Collection'!$53:$56,MATCH($B$4,'Billing &amp; Collection'!$A$53:$A$56,0),MATCH(AW$83,'Billing &amp; Collection'!$4:$4,0))),NA())</f>
        <v>#N/A</v>
      </c>
    </row>
    <row r="102" spans="1:49" x14ac:dyDescent="0.25">
      <c r="A102" s="98" t="s">
        <v>53</v>
      </c>
      <c r="B102" s="101">
        <f>IFERROR(IF($B$4="ALL",INDEX('Billing &amp; Collection'!$65:$65,MATCH(B$83,'Billing &amp; Collection'!$4:$4,0)),INDEX('Billing &amp; Collection'!$61:$64,MATCH($B$4,'Billing &amp; Collection'!$A$61:$A$64,0),MATCH(B$83,'Billing &amp; Collection'!$4:$4,0))),NA())</f>
        <v>0.3422715231791556</v>
      </c>
      <c r="C102" s="101">
        <f>IFERROR(IF($B$4="ALL",INDEX('Billing &amp; Collection'!$65:$65,MATCH(C$83,'Billing &amp; Collection'!$4:$4,0)),INDEX('Billing &amp; Collection'!$61:$64,MATCH($B$4,'Billing &amp; Collection'!$A$61:$A$64,0),MATCH(C$83,'Billing &amp; Collection'!$4:$4,0))),NA())</f>
        <v>0.32493409094113662</v>
      </c>
      <c r="D102" s="101">
        <f>IFERROR(IF($B$4="ALL",INDEX('Billing &amp; Collection'!$65:$65,MATCH(D$83,'Billing &amp; Collection'!$4:$4,0)),INDEX('Billing &amp; Collection'!$61:$64,MATCH($B$4,'Billing &amp; Collection'!$A$61:$A$64,0),MATCH(D$83,'Billing &amp; Collection'!$4:$4,0))),NA())</f>
        <v>0.30952798549943061</v>
      </c>
      <c r="E102" s="101">
        <f>IFERROR(IF($B$4="ALL",INDEX('Billing &amp; Collection'!$65:$65,MATCH(E$83,'Billing &amp; Collection'!$4:$4,0)),INDEX('Billing &amp; Collection'!$61:$64,MATCH($B$4,'Billing &amp; Collection'!$A$61:$A$64,0),MATCH(E$83,'Billing &amp; Collection'!$4:$4,0))),NA())</f>
        <v>0.55644921506317846</v>
      </c>
      <c r="F102" s="101">
        <f>IFERROR(IF($B$4="ALL",INDEX('Billing &amp; Collection'!$65:$65,MATCH(F$83,'Billing &amp; Collection'!$4:$4,0)),INDEX('Billing &amp; Collection'!$61:$64,MATCH($B$4,'Billing &amp; Collection'!$A$61:$A$64,0),MATCH(F$83,'Billing &amp; Collection'!$4:$4,0))),NA())</f>
        <v>0.49553798411868744</v>
      </c>
      <c r="G102" s="101">
        <f>IFERROR(IF($B$4="ALL",INDEX('Billing &amp; Collection'!$65:$65,MATCH(G$83,'Billing &amp; Collection'!$4:$4,0)),INDEX('Billing &amp; Collection'!$61:$64,MATCH($B$4,'Billing &amp; Collection'!$A$61:$A$64,0),MATCH(G$83,'Billing &amp; Collection'!$4:$4,0))),NA())</f>
        <v>0.50639609235717475</v>
      </c>
      <c r="H102" s="101">
        <f>IFERROR(IF($B$4="ALL",INDEX('Billing &amp; Collection'!$65:$65,MATCH(H$83,'Billing &amp; Collection'!$4:$4,0)),INDEX('Billing &amp; Collection'!$61:$64,MATCH($B$4,'Billing &amp; Collection'!$A$61:$A$64,0),MATCH(H$83,'Billing &amp; Collection'!$4:$4,0))),NA())</f>
        <v>0.51893490811363185</v>
      </c>
      <c r="I102" s="101">
        <f>IFERROR(IF($B$4="ALL",INDEX('Billing &amp; Collection'!$65:$65,MATCH(I$83,'Billing &amp; Collection'!$4:$4,0)),INDEX('Billing &amp; Collection'!$61:$64,MATCH($B$4,'Billing &amp; Collection'!$A$61:$A$64,0),MATCH(I$83,'Billing &amp; Collection'!$4:$4,0))),NA())</f>
        <v>0.53530242610451007</v>
      </c>
      <c r="J102" s="101">
        <f>IFERROR(IF($B$4="ALL",INDEX('Billing &amp; Collection'!$65:$65,MATCH(J$83,'Billing &amp; Collection'!$4:$4,0)),INDEX('Billing &amp; Collection'!$61:$64,MATCH($B$4,'Billing &amp; Collection'!$A$61:$A$64,0),MATCH(J$83,'Billing &amp; Collection'!$4:$4,0))),NA())</f>
        <v>0.50013998778754598</v>
      </c>
      <c r="K102" s="101">
        <f>IFERROR(IF($B$4="ALL",INDEX('Billing &amp; Collection'!$65:$65,MATCH(K$83,'Billing &amp; Collection'!$4:$4,0)),INDEX('Billing &amp; Collection'!$61:$64,MATCH($B$4,'Billing &amp; Collection'!$A$61:$A$64,0),MATCH(K$83,'Billing &amp; Collection'!$4:$4,0))),NA())</f>
        <v>0.56885279226288421</v>
      </c>
      <c r="L102" s="101">
        <f>IFERROR(IF($B$4="ALL",INDEX('Billing &amp; Collection'!$65:$65,MATCH(L$83,'Billing &amp; Collection'!$4:$4,0)),INDEX('Billing &amp; Collection'!$61:$64,MATCH($B$4,'Billing &amp; Collection'!$A$61:$A$64,0),MATCH(L$83,'Billing &amp; Collection'!$4:$4,0))),NA())</f>
        <v>0.53287168258541773</v>
      </c>
      <c r="M102" s="101">
        <f>IFERROR(IF($B$4="ALL",INDEX('Billing &amp; Collection'!$65:$65,MATCH(M$83,'Billing &amp; Collection'!$4:$4,0)),INDEX('Billing &amp; Collection'!$61:$64,MATCH($B$4,'Billing &amp; Collection'!$A$61:$A$64,0),MATCH(M$83,'Billing &amp; Collection'!$4:$4,0))),NA())</f>
        <v>0.50975792349182458</v>
      </c>
      <c r="N102" s="101">
        <f>IFERROR(IF($B$4="ALL",INDEX('Billing &amp; Collection'!$65:$65,MATCH(N$83,'Billing &amp; Collection'!$4:$4,0)),INDEX('Billing &amp; Collection'!$61:$64,MATCH($B$4,'Billing &amp; Collection'!$A$61:$A$64,0),MATCH(N$83,'Billing &amp; Collection'!$4:$4,0))),NA())</f>
        <v>0.55276276935462376</v>
      </c>
      <c r="O102" s="101">
        <f>IFERROR(IF($B$4="ALL",INDEX('Billing &amp; Collection'!$65:$65,MATCH(O$83,'Billing &amp; Collection'!$4:$4,0)),INDEX('Billing &amp; Collection'!$61:$64,MATCH($B$4,'Billing &amp; Collection'!$A$61:$A$64,0),MATCH(O$83,'Billing &amp; Collection'!$4:$4,0))),NA())</f>
        <v>0.49764490235364822</v>
      </c>
      <c r="P102" s="101">
        <f>IFERROR(IF($B$4="ALL",INDEX('Billing &amp; Collection'!$65:$65,MATCH(P$83,'Billing &amp; Collection'!$4:$4,0)),INDEX('Billing &amp; Collection'!$61:$64,MATCH($B$4,'Billing &amp; Collection'!$A$61:$A$64,0),MATCH(P$83,'Billing &amp; Collection'!$4:$4,0))),NA())</f>
        <v>0.5110419154750373</v>
      </c>
      <c r="Q102" s="101">
        <f>IFERROR(IF($B$4="ALL",INDEX('Billing &amp; Collection'!$65:$65,MATCH(Q$83,'Billing &amp; Collection'!$4:$4,0)),INDEX('Billing &amp; Collection'!$61:$64,MATCH($B$4,'Billing &amp; Collection'!$A$61:$A$64,0),MATCH(Q$83,'Billing &amp; Collection'!$4:$4,0))),NA())</f>
        <v>0.47468052697448321</v>
      </c>
      <c r="R102" s="101">
        <f>IFERROR(IF($B$4="ALL",INDEX('Billing &amp; Collection'!$65:$65,MATCH(R$83,'Billing &amp; Collection'!$4:$4,0)),INDEX('Billing &amp; Collection'!$61:$64,MATCH($B$4,'Billing &amp; Collection'!$A$61:$A$64,0),MATCH(R$83,'Billing &amp; Collection'!$4:$4,0))),NA())</f>
        <v>0.48836440216118682</v>
      </c>
      <c r="S102" s="101">
        <f>IFERROR(IF($B$4="ALL",INDEX('Billing &amp; Collection'!$65:$65,MATCH(S$83,'Billing &amp; Collection'!$4:$4,0)),INDEX('Billing &amp; Collection'!$61:$64,MATCH($B$4,'Billing &amp; Collection'!$A$61:$A$64,0),MATCH(S$83,'Billing &amp; Collection'!$4:$4,0))),NA())</f>
        <v>0.48637882400063748</v>
      </c>
      <c r="T102" s="101">
        <f>IFERROR(IF($B$4="ALL",INDEX('Billing &amp; Collection'!$65:$65,MATCH(T$83,'Billing &amp; Collection'!$4:$4,0)),INDEX('Billing &amp; Collection'!$61:$64,MATCH($B$4,'Billing &amp; Collection'!$A$61:$A$64,0),MATCH(T$83,'Billing &amp; Collection'!$4:$4,0))),NA())</f>
        <v>0.40780697362175694</v>
      </c>
      <c r="U102" s="101">
        <f>IFERROR(IF($B$4="ALL",INDEX('Billing &amp; Collection'!$65:$65,MATCH(U$83,'Billing &amp; Collection'!$4:$4,0)),INDEX('Billing &amp; Collection'!$61:$64,MATCH($B$4,'Billing &amp; Collection'!$A$61:$A$64,0),MATCH(U$83,'Billing &amp; Collection'!$4:$4,0))),NA())</f>
        <v>0.43736168659211128</v>
      </c>
      <c r="V102" s="101">
        <f>IFERROR(IF($B$4="ALL",INDEX('Billing &amp; Collection'!$65:$65,MATCH(V$83,'Billing &amp; Collection'!$4:$4,0)),INDEX('Billing &amp; Collection'!$61:$64,MATCH($B$4,'Billing &amp; Collection'!$A$61:$A$64,0),MATCH(V$83,'Billing &amp; Collection'!$4:$4,0))),NA())</f>
        <v>0.47588148320304013</v>
      </c>
      <c r="W102" s="101">
        <f>IFERROR(IF($B$4="ALL",INDEX('Billing &amp; Collection'!$65:$65,MATCH(W$83,'Billing &amp; Collection'!$4:$4,0)),INDEX('Billing &amp; Collection'!$61:$64,MATCH($B$4,'Billing &amp; Collection'!$A$61:$A$64,0),MATCH(W$83,'Billing &amp; Collection'!$4:$4,0))),NA())</f>
        <v>0.4681031452824137</v>
      </c>
      <c r="X102" s="101">
        <f>IFERROR(IF($B$4="ALL",INDEX('Billing &amp; Collection'!$65:$65,MATCH(X$83,'Billing &amp; Collection'!$4:$4,0)),INDEX('Billing &amp; Collection'!$61:$64,MATCH($B$4,'Billing &amp; Collection'!$A$61:$A$64,0),MATCH(X$83,'Billing &amp; Collection'!$4:$4,0))),NA())</f>
        <v>0.47422006597812622</v>
      </c>
      <c r="Y102" s="101">
        <f>IFERROR(IF($B$4="ALL",INDEX('Billing &amp; Collection'!$65:$65,MATCH(Y$83,'Billing &amp; Collection'!$4:$4,0)),INDEX('Billing &amp; Collection'!$61:$64,MATCH($B$4,'Billing &amp; Collection'!$A$61:$A$64,0),MATCH(Y$83,'Billing &amp; Collection'!$4:$4,0))),NA())</f>
        <v>0.43658262032992246</v>
      </c>
      <c r="Z102" s="101">
        <f>IFERROR(IF($B$4="ALL",INDEX('Billing &amp; Collection'!$65:$65,MATCH(Z$83,'Billing &amp; Collection'!$4:$4,0)),INDEX('Billing &amp; Collection'!$61:$64,MATCH($B$4,'Billing &amp; Collection'!$A$61:$A$64,0),MATCH(Z$83,'Billing &amp; Collection'!$4:$4,0))),NA())</f>
        <v>0.52803649607917602</v>
      </c>
      <c r="AA102" s="101">
        <f>IFERROR(IF($B$4="ALL",INDEX('Billing &amp; Collection'!$65:$65,MATCH(AA$83,'Billing &amp; Collection'!$4:$4,0)),INDEX('Billing &amp; Collection'!$61:$64,MATCH($B$4,'Billing &amp; Collection'!$A$61:$A$64,0),MATCH(AA$83,'Billing &amp; Collection'!$4:$4,0))),NA())</f>
        <v>0.48133009616406108</v>
      </c>
      <c r="AB102" s="101">
        <f>IFERROR(IF($B$4="ALL",INDEX('Billing &amp; Collection'!$65:$65,MATCH(AB$83,'Billing &amp; Collection'!$4:$4,0)),INDEX('Billing &amp; Collection'!$61:$64,MATCH($B$4,'Billing &amp; Collection'!$A$61:$A$64,0),MATCH(AB$83,'Billing &amp; Collection'!$4:$4,0))),NA())</f>
        <v>0.47978563867402457</v>
      </c>
      <c r="AC102" s="101" t="e">
        <f>IFERROR(IF($B$4="ALL",INDEX('Billing &amp; Collection'!$65:$65,MATCH(AC$83,'Billing &amp; Collection'!$4:$4,0)),INDEX('Billing &amp; Collection'!$61:$64,MATCH($B$4,'Billing &amp; Collection'!$A$61:$A$64,0),MATCH(AC$83,'Billing &amp; Collection'!$4:$4,0))),NA())</f>
        <v>#N/A</v>
      </c>
      <c r="AD102" s="101" t="e">
        <f>IFERROR(IF($B$4="ALL",INDEX('Billing &amp; Collection'!$65:$65,MATCH(AD$83,'Billing &amp; Collection'!$4:$4,0)),INDEX('Billing &amp; Collection'!$61:$64,MATCH($B$4,'Billing &amp; Collection'!$A$61:$A$64,0),MATCH(AD$83,'Billing &amp; Collection'!$4:$4,0))),NA())</f>
        <v>#N/A</v>
      </c>
      <c r="AE102" s="101" t="e">
        <f>IFERROR(IF($B$4="ALL",INDEX('Billing &amp; Collection'!$65:$65,MATCH(AE$83,'Billing &amp; Collection'!$4:$4,0)),INDEX('Billing &amp; Collection'!$61:$64,MATCH($B$4,'Billing &amp; Collection'!$A$61:$A$64,0),MATCH(AE$83,'Billing &amp; Collection'!$4:$4,0))),NA())</f>
        <v>#N/A</v>
      </c>
      <c r="AF102" s="101" t="e">
        <f>IFERROR(IF($B$4="ALL",INDEX('Billing &amp; Collection'!$65:$65,MATCH(AF$83,'Billing &amp; Collection'!$4:$4,0)),INDEX('Billing &amp; Collection'!$61:$64,MATCH($B$4,'Billing &amp; Collection'!$A$61:$A$64,0),MATCH(AF$83,'Billing &amp; Collection'!$4:$4,0))),NA())</f>
        <v>#N/A</v>
      </c>
      <c r="AG102" s="101" t="e">
        <f>IFERROR(IF($B$4="ALL",INDEX('Billing &amp; Collection'!$65:$65,MATCH(AG$83,'Billing &amp; Collection'!$4:$4,0)),INDEX('Billing &amp; Collection'!$61:$64,MATCH($B$4,'Billing &amp; Collection'!$A$61:$A$64,0),MATCH(AG$83,'Billing &amp; Collection'!$4:$4,0))),NA())</f>
        <v>#N/A</v>
      </c>
      <c r="AH102" s="101" t="e">
        <f>IFERROR(IF($B$4="ALL",INDEX('Billing &amp; Collection'!$65:$65,MATCH(AH$83,'Billing &amp; Collection'!$4:$4,0)),INDEX('Billing &amp; Collection'!$61:$64,MATCH($B$4,'Billing &amp; Collection'!$A$61:$A$64,0),MATCH(AH$83,'Billing &amp; Collection'!$4:$4,0))),NA())</f>
        <v>#N/A</v>
      </c>
      <c r="AI102" s="101" t="e">
        <f>IFERROR(IF($B$4="ALL",INDEX('Billing &amp; Collection'!$65:$65,MATCH(AI$83,'Billing &amp; Collection'!$4:$4,0)),INDEX('Billing &amp; Collection'!$61:$64,MATCH($B$4,'Billing &amp; Collection'!$A$61:$A$64,0),MATCH(AI$83,'Billing &amp; Collection'!$4:$4,0))),NA())</f>
        <v>#N/A</v>
      </c>
      <c r="AJ102" s="101" t="e">
        <f>IFERROR(IF($B$4="ALL",INDEX('Billing &amp; Collection'!$65:$65,MATCH(AJ$83,'Billing &amp; Collection'!$4:$4,0)),INDEX('Billing &amp; Collection'!$61:$64,MATCH($B$4,'Billing &amp; Collection'!$A$61:$A$64,0),MATCH(AJ$83,'Billing &amp; Collection'!$4:$4,0))),NA())</f>
        <v>#N/A</v>
      </c>
      <c r="AK102" s="101" t="e">
        <f>IFERROR(IF($B$4="ALL",INDEX('Billing &amp; Collection'!$65:$65,MATCH(AK$83,'Billing &amp; Collection'!$4:$4,0)),INDEX('Billing &amp; Collection'!$61:$64,MATCH($B$4,'Billing &amp; Collection'!$A$61:$A$64,0),MATCH(AK$83,'Billing &amp; Collection'!$4:$4,0))),NA())</f>
        <v>#N/A</v>
      </c>
      <c r="AL102" s="101" t="e">
        <f>IFERROR(IF($B$4="ALL",INDEX('Billing &amp; Collection'!$65:$65,MATCH(AL$83,'Billing &amp; Collection'!$4:$4,0)),INDEX('Billing &amp; Collection'!$61:$64,MATCH($B$4,'Billing &amp; Collection'!$A$61:$A$64,0),MATCH(AL$83,'Billing &amp; Collection'!$4:$4,0))),NA())</f>
        <v>#N/A</v>
      </c>
      <c r="AM102" s="101" t="e">
        <f>IFERROR(IF($B$4="ALL",INDEX('Billing &amp; Collection'!$65:$65,MATCH(AM$83,'Billing &amp; Collection'!$4:$4,0)),INDEX('Billing &amp; Collection'!$61:$64,MATCH($B$4,'Billing &amp; Collection'!$A$61:$A$64,0),MATCH(AM$83,'Billing &amp; Collection'!$4:$4,0))),NA())</f>
        <v>#N/A</v>
      </c>
      <c r="AN102" s="101" t="e">
        <f>IFERROR(IF($B$4="ALL",INDEX('Billing &amp; Collection'!$65:$65,MATCH(AN$83,'Billing &amp; Collection'!$4:$4,0)),INDEX('Billing &amp; Collection'!$61:$64,MATCH($B$4,'Billing &amp; Collection'!$A$61:$A$64,0),MATCH(AN$83,'Billing &amp; Collection'!$4:$4,0))),NA())</f>
        <v>#N/A</v>
      </c>
      <c r="AO102" s="101" t="e">
        <f>IFERROR(IF($B$4="ALL",INDEX('Billing &amp; Collection'!$65:$65,MATCH(AO$83,'Billing &amp; Collection'!$4:$4,0)),INDEX('Billing &amp; Collection'!$61:$64,MATCH($B$4,'Billing &amp; Collection'!$A$61:$A$64,0),MATCH(AO$83,'Billing &amp; Collection'!$4:$4,0))),NA())</f>
        <v>#N/A</v>
      </c>
      <c r="AP102" s="101" t="e">
        <f>IFERROR(IF($B$4="ALL",INDEX('Billing &amp; Collection'!$65:$65,MATCH(AP$83,'Billing &amp; Collection'!$4:$4,0)),INDEX('Billing &amp; Collection'!$61:$64,MATCH($B$4,'Billing &amp; Collection'!$A$61:$A$64,0),MATCH(AP$83,'Billing &amp; Collection'!$4:$4,0))),NA())</f>
        <v>#N/A</v>
      </c>
      <c r="AQ102" s="101" t="e">
        <f>IFERROR(IF($B$4="ALL",INDEX('Billing &amp; Collection'!$65:$65,MATCH(AQ$83,'Billing &amp; Collection'!$4:$4,0)),INDEX('Billing &amp; Collection'!$61:$64,MATCH($B$4,'Billing &amp; Collection'!$A$61:$A$64,0),MATCH(AQ$83,'Billing &amp; Collection'!$4:$4,0))),NA())</f>
        <v>#N/A</v>
      </c>
      <c r="AR102" s="101" t="e">
        <f>IFERROR(IF($B$4="ALL",INDEX('Billing &amp; Collection'!$65:$65,MATCH(AR$83,'Billing &amp; Collection'!$4:$4,0)),INDEX('Billing &amp; Collection'!$61:$64,MATCH($B$4,'Billing &amp; Collection'!$A$61:$A$64,0),MATCH(AR$83,'Billing &amp; Collection'!$4:$4,0))),NA())</f>
        <v>#N/A</v>
      </c>
      <c r="AS102" s="101" t="e">
        <f>IFERROR(IF($B$4="ALL",INDEX('Billing &amp; Collection'!$65:$65,MATCH(AS$83,'Billing &amp; Collection'!$4:$4,0)),INDEX('Billing &amp; Collection'!$61:$64,MATCH($B$4,'Billing &amp; Collection'!$A$61:$A$64,0),MATCH(AS$83,'Billing &amp; Collection'!$4:$4,0))),NA())</f>
        <v>#N/A</v>
      </c>
      <c r="AT102" s="101" t="e">
        <f>IFERROR(IF($B$4="ALL",INDEX('Billing &amp; Collection'!$65:$65,MATCH(AT$83,'Billing &amp; Collection'!$4:$4,0)),INDEX('Billing &amp; Collection'!$61:$64,MATCH($B$4,'Billing &amp; Collection'!$A$61:$A$64,0),MATCH(AT$83,'Billing &amp; Collection'!$4:$4,0))),NA())</f>
        <v>#N/A</v>
      </c>
      <c r="AU102" s="101" t="e">
        <f>IFERROR(IF($B$4="ALL",INDEX('Billing &amp; Collection'!$65:$65,MATCH(AU$83,'Billing &amp; Collection'!$4:$4,0)),INDEX('Billing &amp; Collection'!$61:$64,MATCH($B$4,'Billing &amp; Collection'!$A$61:$A$64,0),MATCH(AU$83,'Billing &amp; Collection'!$4:$4,0))),NA())</f>
        <v>#N/A</v>
      </c>
      <c r="AV102" s="101" t="e">
        <f>IFERROR(IF($B$4="ALL",INDEX('Billing &amp; Collection'!$65:$65,MATCH(AV$83,'Billing &amp; Collection'!$4:$4,0)),INDEX('Billing &amp; Collection'!$61:$64,MATCH($B$4,'Billing &amp; Collection'!$A$61:$A$64,0),MATCH(AV$83,'Billing &amp; Collection'!$4:$4,0))),NA())</f>
        <v>#N/A</v>
      </c>
      <c r="AW102" s="101" t="e">
        <f>IFERROR(IF($B$4="ALL",INDEX('Billing &amp; Collection'!$65:$65,MATCH(AW$83,'Billing &amp; Collection'!$4:$4,0)),INDEX('Billing &amp; Collection'!$61:$64,MATCH($B$4,'Billing &amp; Collection'!$A$61:$A$64,0),MATCH(AW$83,'Billing &amp; Collection'!$4:$4,0))),NA())</f>
        <v>#N/A</v>
      </c>
    </row>
    <row r="103" spans="1:49" x14ac:dyDescent="0.25">
      <c r="A103" s="98" t="s">
        <v>52</v>
      </c>
      <c r="B103" s="109" t="e">
        <f>IF(ISNA(B$93),NA(),B101)</f>
        <v>#N/A</v>
      </c>
      <c r="C103" s="109" t="e">
        <f t="shared" ref="C103:AW103" si="8">IF(ISNA(C$93),NA(),C101)</f>
        <v>#N/A</v>
      </c>
      <c r="D103" s="109" t="e">
        <f t="shared" si="8"/>
        <v>#N/A</v>
      </c>
      <c r="E103" s="109" t="e">
        <f t="shared" si="8"/>
        <v>#N/A</v>
      </c>
      <c r="F103" s="109" t="e">
        <f t="shared" si="8"/>
        <v>#N/A</v>
      </c>
      <c r="G103" s="109" t="e">
        <f t="shared" si="8"/>
        <v>#N/A</v>
      </c>
      <c r="H103" s="109" t="e">
        <f t="shared" si="8"/>
        <v>#N/A</v>
      </c>
      <c r="I103" s="109" t="e">
        <f t="shared" si="8"/>
        <v>#N/A</v>
      </c>
      <c r="J103" s="109" t="e">
        <f t="shared" si="8"/>
        <v>#N/A</v>
      </c>
      <c r="K103" s="109" t="e">
        <f t="shared" si="8"/>
        <v>#N/A</v>
      </c>
      <c r="L103" s="109" t="e">
        <f t="shared" si="8"/>
        <v>#N/A</v>
      </c>
      <c r="M103" s="109" t="e">
        <f t="shared" si="8"/>
        <v>#N/A</v>
      </c>
      <c r="N103" s="109" t="e">
        <f t="shared" si="8"/>
        <v>#N/A</v>
      </c>
      <c r="O103" s="109" t="e">
        <f t="shared" si="8"/>
        <v>#N/A</v>
      </c>
      <c r="P103" s="109" t="e">
        <f t="shared" si="8"/>
        <v>#N/A</v>
      </c>
      <c r="Q103" s="109" t="e">
        <f t="shared" si="8"/>
        <v>#N/A</v>
      </c>
      <c r="R103" s="109" t="e">
        <f t="shared" si="8"/>
        <v>#N/A</v>
      </c>
      <c r="S103" s="109" t="e">
        <f t="shared" si="8"/>
        <v>#N/A</v>
      </c>
      <c r="T103" s="109" t="e">
        <f t="shared" si="8"/>
        <v>#N/A</v>
      </c>
      <c r="U103" s="109" t="e">
        <f t="shared" si="8"/>
        <v>#N/A</v>
      </c>
      <c r="V103" s="109" t="e">
        <f t="shared" si="8"/>
        <v>#N/A</v>
      </c>
      <c r="W103" s="109" t="e">
        <f t="shared" si="8"/>
        <v>#N/A</v>
      </c>
      <c r="X103" s="109" t="e">
        <f t="shared" si="8"/>
        <v>#N/A</v>
      </c>
      <c r="Y103" s="109" t="e">
        <f t="shared" si="8"/>
        <v>#N/A</v>
      </c>
      <c r="Z103" s="109">
        <f t="shared" si="8"/>
        <v>5.68142547395089</v>
      </c>
      <c r="AA103" s="109">
        <f t="shared" si="8"/>
        <v>6.2327288983347753</v>
      </c>
      <c r="AB103" s="109">
        <f t="shared" si="8"/>
        <v>6.2527924101501853</v>
      </c>
      <c r="AC103" s="109" t="e">
        <f t="shared" si="8"/>
        <v>#N/A</v>
      </c>
      <c r="AD103" s="109" t="e">
        <f t="shared" si="8"/>
        <v>#N/A</v>
      </c>
      <c r="AE103" s="109" t="e">
        <f t="shared" si="8"/>
        <v>#N/A</v>
      </c>
      <c r="AF103" s="109" t="e">
        <f t="shared" si="8"/>
        <v>#N/A</v>
      </c>
      <c r="AG103" s="109" t="e">
        <f t="shared" si="8"/>
        <v>#N/A</v>
      </c>
      <c r="AH103" s="109" t="e">
        <f t="shared" si="8"/>
        <v>#N/A</v>
      </c>
      <c r="AI103" s="109" t="e">
        <f t="shared" si="8"/>
        <v>#N/A</v>
      </c>
      <c r="AJ103" s="109" t="e">
        <f t="shared" si="8"/>
        <v>#N/A</v>
      </c>
      <c r="AK103" s="109" t="e">
        <f t="shared" si="8"/>
        <v>#N/A</v>
      </c>
      <c r="AL103" s="109" t="e">
        <f t="shared" si="8"/>
        <v>#N/A</v>
      </c>
      <c r="AM103" s="109" t="e">
        <f t="shared" si="8"/>
        <v>#N/A</v>
      </c>
      <c r="AN103" s="109" t="e">
        <f t="shared" si="8"/>
        <v>#N/A</v>
      </c>
      <c r="AO103" s="109" t="e">
        <f t="shared" si="8"/>
        <v>#N/A</v>
      </c>
      <c r="AP103" s="109" t="e">
        <f t="shared" si="8"/>
        <v>#N/A</v>
      </c>
      <c r="AQ103" s="109" t="e">
        <f t="shared" si="8"/>
        <v>#N/A</v>
      </c>
      <c r="AR103" s="109" t="e">
        <f t="shared" si="8"/>
        <v>#N/A</v>
      </c>
      <c r="AS103" s="109" t="e">
        <f t="shared" si="8"/>
        <v>#N/A</v>
      </c>
      <c r="AT103" s="109" t="e">
        <f t="shared" si="8"/>
        <v>#N/A</v>
      </c>
      <c r="AU103" s="109" t="e">
        <f t="shared" si="8"/>
        <v>#N/A</v>
      </c>
      <c r="AV103" s="109" t="e">
        <f t="shared" si="8"/>
        <v>#N/A</v>
      </c>
      <c r="AW103" s="109" t="e">
        <f t="shared" si="8"/>
        <v>#N/A</v>
      </c>
    </row>
    <row r="104" spans="1:49" x14ac:dyDescent="0.25">
      <c r="A104" s="98" t="s">
        <v>53</v>
      </c>
      <c r="B104" s="101" t="e">
        <f>IF(ISNA(B$93),NA(),B102)</f>
        <v>#N/A</v>
      </c>
      <c r="C104" s="101" t="e">
        <f t="shared" ref="C104:AW104" si="9">IF(ISNA(C$93),NA(),C102)</f>
        <v>#N/A</v>
      </c>
      <c r="D104" s="101" t="e">
        <f t="shared" si="9"/>
        <v>#N/A</v>
      </c>
      <c r="E104" s="101" t="e">
        <f t="shared" si="9"/>
        <v>#N/A</v>
      </c>
      <c r="F104" s="101" t="e">
        <f t="shared" si="9"/>
        <v>#N/A</v>
      </c>
      <c r="G104" s="101" t="e">
        <f t="shared" si="9"/>
        <v>#N/A</v>
      </c>
      <c r="H104" s="101" t="e">
        <f t="shared" si="9"/>
        <v>#N/A</v>
      </c>
      <c r="I104" s="101" t="e">
        <f t="shared" si="9"/>
        <v>#N/A</v>
      </c>
      <c r="J104" s="101" t="e">
        <f t="shared" si="9"/>
        <v>#N/A</v>
      </c>
      <c r="K104" s="101" t="e">
        <f t="shared" si="9"/>
        <v>#N/A</v>
      </c>
      <c r="L104" s="101" t="e">
        <f t="shared" si="9"/>
        <v>#N/A</v>
      </c>
      <c r="M104" s="101" t="e">
        <f t="shared" si="9"/>
        <v>#N/A</v>
      </c>
      <c r="N104" s="101" t="e">
        <f t="shared" si="9"/>
        <v>#N/A</v>
      </c>
      <c r="O104" s="101" t="e">
        <f t="shared" si="9"/>
        <v>#N/A</v>
      </c>
      <c r="P104" s="101" t="e">
        <f t="shared" si="9"/>
        <v>#N/A</v>
      </c>
      <c r="Q104" s="101" t="e">
        <f t="shared" si="9"/>
        <v>#N/A</v>
      </c>
      <c r="R104" s="101" t="e">
        <f t="shared" si="9"/>
        <v>#N/A</v>
      </c>
      <c r="S104" s="101" t="e">
        <f t="shared" si="9"/>
        <v>#N/A</v>
      </c>
      <c r="T104" s="101" t="e">
        <f t="shared" si="9"/>
        <v>#N/A</v>
      </c>
      <c r="U104" s="101" t="e">
        <f t="shared" si="9"/>
        <v>#N/A</v>
      </c>
      <c r="V104" s="101" t="e">
        <f t="shared" si="9"/>
        <v>#N/A</v>
      </c>
      <c r="W104" s="101" t="e">
        <f t="shared" si="9"/>
        <v>#N/A</v>
      </c>
      <c r="X104" s="101" t="e">
        <f t="shared" si="9"/>
        <v>#N/A</v>
      </c>
      <c r="Y104" s="101" t="e">
        <f t="shared" si="9"/>
        <v>#N/A</v>
      </c>
      <c r="Z104" s="101">
        <f t="shared" si="9"/>
        <v>0.52803649607917602</v>
      </c>
      <c r="AA104" s="101">
        <f t="shared" si="9"/>
        <v>0.48133009616406108</v>
      </c>
      <c r="AB104" s="101">
        <f t="shared" si="9"/>
        <v>0.47978563867402457</v>
      </c>
      <c r="AC104" s="101" t="e">
        <f t="shared" si="9"/>
        <v>#N/A</v>
      </c>
      <c r="AD104" s="101" t="e">
        <f t="shared" si="9"/>
        <v>#N/A</v>
      </c>
      <c r="AE104" s="101" t="e">
        <f t="shared" si="9"/>
        <v>#N/A</v>
      </c>
      <c r="AF104" s="101" t="e">
        <f t="shared" si="9"/>
        <v>#N/A</v>
      </c>
      <c r="AG104" s="101" t="e">
        <f t="shared" si="9"/>
        <v>#N/A</v>
      </c>
      <c r="AH104" s="101" t="e">
        <f t="shared" si="9"/>
        <v>#N/A</v>
      </c>
      <c r="AI104" s="101" t="e">
        <f t="shared" si="9"/>
        <v>#N/A</v>
      </c>
      <c r="AJ104" s="101" t="e">
        <f t="shared" si="9"/>
        <v>#N/A</v>
      </c>
      <c r="AK104" s="101" t="e">
        <f t="shared" si="9"/>
        <v>#N/A</v>
      </c>
      <c r="AL104" s="101" t="e">
        <f t="shared" si="9"/>
        <v>#N/A</v>
      </c>
      <c r="AM104" s="101" t="e">
        <f t="shared" si="9"/>
        <v>#N/A</v>
      </c>
      <c r="AN104" s="101" t="e">
        <f t="shared" si="9"/>
        <v>#N/A</v>
      </c>
      <c r="AO104" s="101" t="e">
        <f t="shared" si="9"/>
        <v>#N/A</v>
      </c>
      <c r="AP104" s="101" t="e">
        <f t="shared" si="9"/>
        <v>#N/A</v>
      </c>
      <c r="AQ104" s="101" t="e">
        <f t="shared" si="9"/>
        <v>#N/A</v>
      </c>
      <c r="AR104" s="101" t="e">
        <f t="shared" si="9"/>
        <v>#N/A</v>
      </c>
      <c r="AS104" s="101" t="e">
        <f t="shared" si="9"/>
        <v>#N/A</v>
      </c>
      <c r="AT104" s="101" t="e">
        <f t="shared" si="9"/>
        <v>#N/A</v>
      </c>
      <c r="AU104" s="101" t="e">
        <f t="shared" si="9"/>
        <v>#N/A</v>
      </c>
      <c r="AV104" s="101" t="e">
        <f t="shared" si="9"/>
        <v>#N/A</v>
      </c>
      <c r="AW104" s="101" t="e">
        <f t="shared" si="9"/>
        <v>#N/A</v>
      </c>
    </row>
    <row r="105" spans="1:49" x14ac:dyDescent="0.25">
      <c r="A105" s="116" t="s">
        <v>64</v>
      </c>
    </row>
    <row r="106" spans="1:49" x14ac:dyDescent="0.25">
      <c r="A106" s="98" t="s">
        <v>65</v>
      </c>
      <c r="B106" s="100">
        <f>IFERROR(IF($B$4="ALL",IF(YEAR(B$83)&lt;=2025,SUM(Targets!$B$4:$E$4),SUM(Targets!$F$4:$I$4)),IF(YEAR(B$83)&lt;=2025,INDEX(Targets!$B$4:$E$4,MATCH($B$4,Targets!$B$3:$E$3,0)),INDEX(Targets!$F$4:$I$4,MATCH($B$4,Targets!$F$3:$I$3,0)))),NA())</f>
        <v>462600</v>
      </c>
      <c r="C106" s="100">
        <f>IFERROR(IF($B$4="ALL",IF(YEAR(C$83)&lt;=2025,SUM(Targets!$B$4:$E$4),SUM(Targets!$F$4:$I$4)),IF(YEAR(C$83)&lt;=2025,INDEX(Targets!$B$4:$E$4,MATCH($B$4,Targets!$B$3:$E$3,0)),INDEX(Targets!$F$4:$I$4,MATCH($B$4,Targets!$F$3:$I$3,0)))),NA())</f>
        <v>462600</v>
      </c>
      <c r="D106" s="100">
        <f>IFERROR(IF($B$4="ALL",IF(YEAR(D$83)&lt;=2025,SUM(Targets!$B$4:$E$4),SUM(Targets!$F$4:$I$4)),IF(YEAR(D$83)&lt;=2025,INDEX(Targets!$B$4:$E$4,MATCH($B$4,Targets!$B$3:$E$3,0)),INDEX(Targets!$F$4:$I$4,MATCH($B$4,Targets!$F$3:$I$3,0)))),NA())</f>
        <v>462600</v>
      </c>
      <c r="E106" s="100">
        <f>IFERROR(IF($B$4="ALL",IF(YEAR(E$83)&lt;=2025,SUM(Targets!$B$4:$E$4),SUM(Targets!$F$4:$I$4)),IF(YEAR(E$83)&lt;=2025,INDEX(Targets!$B$4:$E$4,MATCH($B$4,Targets!$B$3:$E$3,0)),INDEX(Targets!$F$4:$I$4,MATCH($B$4,Targets!$F$3:$I$3,0)))),NA())</f>
        <v>462600</v>
      </c>
      <c r="F106" s="100">
        <f>IFERROR(IF($B$4="ALL",IF(YEAR(F$83)&lt;=2025,SUM(Targets!$B$4:$E$4),SUM(Targets!$F$4:$I$4)),IF(YEAR(F$83)&lt;=2025,INDEX(Targets!$B$4:$E$4,MATCH($B$4,Targets!$B$3:$E$3,0)),INDEX(Targets!$F$4:$I$4,MATCH($B$4,Targets!$F$3:$I$3,0)))),NA())</f>
        <v>462600</v>
      </c>
      <c r="G106" s="100">
        <f>IFERROR(IF($B$4="ALL",IF(YEAR(G$83)&lt;=2025,SUM(Targets!$B$4:$E$4),SUM(Targets!$F$4:$I$4)),IF(YEAR(G$83)&lt;=2025,INDEX(Targets!$B$4:$E$4,MATCH($B$4,Targets!$B$3:$E$3,0)),INDEX(Targets!$F$4:$I$4,MATCH($B$4,Targets!$F$3:$I$3,0)))),NA())</f>
        <v>462600</v>
      </c>
      <c r="H106" s="100">
        <f>IFERROR(IF($B$4="ALL",IF(YEAR(H$83)&lt;=2025,SUM(Targets!$B$4:$E$4),SUM(Targets!$F$4:$I$4)),IF(YEAR(H$83)&lt;=2025,INDEX(Targets!$B$4:$E$4,MATCH($B$4,Targets!$B$3:$E$3,0)),INDEX(Targets!$F$4:$I$4,MATCH($B$4,Targets!$F$3:$I$3,0)))),NA())</f>
        <v>462600</v>
      </c>
      <c r="I106" s="100">
        <f>IFERROR(IF($B$4="ALL",IF(YEAR(I$83)&lt;=2025,SUM(Targets!$B$4:$E$4),SUM(Targets!$F$4:$I$4)),IF(YEAR(I$83)&lt;=2025,INDEX(Targets!$B$4:$E$4,MATCH($B$4,Targets!$B$3:$E$3,0)),INDEX(Targets!$F$4:$I$4,MATCH($B$4,Targets!$F$3:$I$3,0)))),NA())</f>
        <v>462600</v>
      </c>
      <c r="J106" s="100">
        <f>IFERROR(IF($B$4="ALL",IF(YEAR(J$83)&lt;=2025,SUM(Targets!$B$4:$E$4),SUM(Targets!$F$4:$I$4)),IF(YEAR(J$83)&lt;=2025,INDEX(Targets!$B$4:$E$4,MATCH($B$4,Targets!$B$3:$E$3,0)),INDEX(Targets!$F$4:$I$4,MATCH($B$4,Targets!$F$3:$I$3,0)))),NA())</f>
        <v>462600</v>
      </c>
      <c r="K106" s="100">
        <f>IFERROR(IF($B$4="ALL",IF(YEAR(K$83)&lt;=2025,SUM(Targets!$B$4:$E$4),SUM(Targets!$F$4:$I$4)),IF(YEAR(K$83)&lt;=2025,INDEX(Targets!$B$4:$E$4,MATCH($B$4,Targets!$B$3:$E$3,0)),INDEX(Targets!$F$4:$I$4,MATCH($B$4,Targets!$F$3:$I$3,0)))),NA())</f>
        <v>462600</v>
      </c>
      <c r="L106" s="100">
        <f>IFERROR(IF($B$4="ALL",IF(YEAR(L$83)&lt;=2025,SUM(Targets!$B$4:$E$4),SUM(Targets!$F$4:$I$4)),IF(YEAR(L$83)&lt;=2025,INDEX(Targets!$B$4:$E$4,MATCH($B$4,Targets!$B$3:$E$3,0)),INDEX(Targets!$F$4:$I$4,MATCH($B$4,Targets!$F$3:$I$3,0)))),NA())</f>
        <v>462600</v>
      </c>
      <c r="M106" s="100">
        <f>IFERROR(IF($B$4="ALL",IF(YEAR(M$83)&lt;=2025,SUM(Targets!$B$4:$E$4),SUM(Targets!$F$4:$I$4)),IF(YEAR(M$83)&lt;=2025,INDEX(Targets!$B$4:$E$4,MATCH($B$4,Targets!$B$3:$E$3,0)),INDEX(Targets!$F$4:$I$4,MATCH($B$4,Targets!$F$3:$I$3,0)))),NA())</f>
        <v>462600</v>
      </c>
      <c r="N106" s="100">
        <f>IFERROR(IF($B$4="ALL",IF(YEAR(N$83)&lt;=2025,SUM(Targets!$B$4:$E$4),SUM(Targets!$F$4:$I$4)),IF(YEAR(N$83)&lt;=2025,INDEX(Targets!$B$4:$E$4,MATCH($B$4,Targets!$B$3:$E$3,0)),INDEX(Targets!$F$4:$I$4,MATCH($B$4,Targets!$F$3:$I$3,0)))),NA())</f>
        <v>462600</v>
      </c>
      <c r="O106" s="100">
        <f>IFERROR(IF($B$4="ALL",IF(YEAR(O$83)&lt;=2025,SUM(Targets!$B$4:$E$4),SUM(Targets!$F$4:$I$4)),IF(YEAR(O$83)&lt;=2025,INDEX(Targets!$B$4:$E$4,MATCH($B$4,Targets!$B$3:$E$3,0)),INDEX(Targets!$F$4:$I$4,MATCH($B$4,Targets!$F$3:$I$3,0)))),NA())</f>
        <v>462600</v>
      </c>
      <c r="P106" s="100">
        <f>IFERROR(IF($B$4="ALL",IF(YEAR(P$83)&lt;=2025,SUM(Targets!$B$4:$E$4),SUM(Targets!$F$4:$I$4)),IF(YEAR(P$83)&lt;=2025,INDEX(Targets!$B$4:$E$4,MATCH($B$4,Targets!$B$3:$E$3,0)),INDEX(Targets!$F$4:$I$4,MATCH($B$4,Targets!$F$3:$I$3,0)))),NA())</f>
        <v>462600</v>
      </c>
      <c r="Q106" s="100">
        <f>IFERROR(IF($B$4="ALL",IF(YEAR(Q$83)&lt;=2025,SUM(Targets!$B$4:$E$4),SUM(Targets!$F$4:$I$4)),IF(YEAR(Q$83)&lt;=2025,INDEX(Targets!$B$4:$E$4,MATCH($B$4,Targets!$B$3:$E$3,0)),INDEX(Targets!$F$4:$I$4,MATCH($B$4,Targets!$F$3:$I$3,0)))),NA())</f>
        <v>462600</v>
      </c>
      <c r="R106" s="100">
        <f>IFERROR(IF($B$4="ALL",IF(YEAR(R$83)&lt;=2025,SUM(Targets!$B$4:$E$4),SUM(Targets!$F$4:$I$4)),IF(YEAR(R$83)&lt;=2025,INDEX(Targets!$B$4:$E$4,MATCH($B$4,Targets!$B$3:$E$3,0)),INDEX(Targets!$F$4:$I$4,MATCH($B$4,Targets!$F$3:$I$3,0)))),NA())</f>
        <v>462600</v>
      </c>
      <c r="S106" s="100">
        <f>IFERROR(IF($B$4="ALL",IF(YEAR(S$83)&lt;=2025,SUM(Targets!$B$4:$E$4),SUM(Targets!$F$4:$I$4)),IF(YEAR(S$83)&lt;=2025,INDEX(Targets!$B$4:$E$4,MATCH($B$4,Targets!$B$3:$E$3,0)),INDEX(Targets!$F$4:$I$4,MATCH($B$4,Targets!$F$3:$I$3,0)))),NA())</f>
        <v>462600</v>
      </c>
      <c r="T106" s="100">
        <f>IFERROR(IF($B$4="ALL",IF(YEAR(T$83)&lt;=2025,SUM(Targets!$B$4:$E$4),SUM(Targets!$F$4:$I$4)),IF(YEAR(T$83)&lt;=2025,INDEX(Targets!$B$4:$E$4,MATCH($B$4,Targets!$B$3:$E$3,0)),INDEX(Targets!$F$4:$I$4,MATCH($B$4,Targets!$F$3:$I$3,0)))),NA())</f>
        <v>462600</v>
      </c>
      <c r="U106" s="100">
        <f>IFERROR(IF($B$4="ALL",IF(YEAR(U$83)&lt;=2025,SUM(Targets!$B$4:$E$4),SUM(Targets!$F$4:$I$4)),IF(YEAR(U$83)&lt;=2025,INDEX(Targets!$B$4:$E$4,MATCH($B$4,Targets!$B$3:$E$3,0)),INDEX(Targets!$F$4:$I$4,MATCH($B$4,Targets!$F$3:$I$3,0)))),NA())</f>
        <v>462600</v>
      </c>
      <c r="V106" s="100">
        <f>IFERROR(IF($B$4="ALL",IF(YEAR(V$83)&lt;=2025,SUM(Targets!$B$4:$E$4),SUM(Targets!$F$4:$I$4)),IF(YEAR(V$83)&lt;=2025,INDEX(Targets!$B$4:$E$4,MATCH($B$4,Targets!$B$3:$E$3,0)),INDEX(Targets!$F$4:$I$4,MATCH($B$4,Targets!$F$3:$I$3,0)))),NA())</f>
        <v>462600</v>
      </c>
      <c r="W106" s="100">
        <f>IFERROR(IF($B$4="ALL",IF(YEAR(W$83)&lt;=2025,SUM(Targets!$B$4:$E$4),SUM(Targets!$F$4:$I$4)),IF(YEAR(W$83)&lt;=2025,INDEX(Targets!$B$4:$E$4,MATCH($B$4,Targets!$B$3:$E$3,0)),INDEX(Targets!$F$4:$I$4,MATCH($B$4,Targets!$F$3:$I$3,0)))),NA())</f>
        <v>462600</v>
      </c>
      <c r="X106" s="100">
        <f>IFERROR(IF($B$4="ALL",IF(YEAR(X$83)&lt;=2025,SUM(Targets!$B$4:$E$4),SUM(Targets!$F$4:$I$4)),IF(YEAR(X$83)&lt;=2025,INDEX(Targets!$B$4:$E$4,MATCH($B$4,Targets!$B$3:$E$3,0)),INDEX(Targets!$F$4:$I$4,MATCH($B$4,Targets!$F$3:$I$3,0)))),NA())</f>
        <v>462600</v>
      </c>
      <c r="Y106" s="100">
        <f>IFERROR(IF($B$4="ALL",IF(YEAR(Y$83)&lt;=2025,SUM(Targets!$B$4:$E$4),SUM(Targets!$F$4:$I$4)),IF(YEAR(Y$83)&lt;=2025,INDEX(Targets!$B$4:$E$4,MATCH($B$4,Targets!$B$3:$E$3,0)),INDEX(Targets!$F$4:$I$4,MATCH($B$4,Targets!$F$3:$I$3,0)))),NA())</f>
        <v>462600</v>
      </c>
      <c r="Z106" s="100">
        <f>IFERROR(IF($B$4="ALL",IF(YEAR(Z$83)&lt;=2025,SUM(Targets!$B$4:$E$4),SUM(Targets!$F$4:$I$4)),IF(YEAR(Z$83)&lt;=2025,INDEX(Targets!$B$4:$E$4,MATCH($B$4,Targets!$B$3:$E$3,0)),INDEX(Targets!$F$4:$I$4,MATCH($B$4,Targets!$F$3:$I$3,0)))),NA())</f>
        <v>435051.08999999997</v>
      </c>
      <c r="AA106" s="100">
        <f>IFERROR(IF($B$4="ALL",IF(YEAR(AA$83)&lt;=2025,SUM(Targets!$B$4:$E$4),SUM(Targets!$F$4:$I$4)),IF(YEAR(AA$83)&lt;=2025,INDEX(Targets!$B$4:$E$4,MATCH($B$4,Targets!$B$3:$E$3,0)),INDEX(Targets!$F$4:$I$4,MATCH($B$4,Targets!$F$3:$I$3,0)))),NA())</f>
        <v>435051.08999999997</v>
      </c>
      <c r="AB106" s="100">
        <f>IFERROR(IF($B$4="ALL",IF(YEAR(AB$83)&lt;=2025,SUM(Targets!$B$4:$E$4),SUM(Targets!$F$4:$I$4)),IF(YEAR(AB$83)&lt;=2025,INDEX(Targets!$B$4:$E$4,MATCH($B$4,Targets!$B$3:$E$3,0)),INDEX(Targets!$F$4:$I$4,MATCH($B$4,Targets!$F$3:$I$3,0)))),NA())</f>
        <v>435051.08999999997</v>
      </c>
      <c r="AC106" s="100">
        <f>IFERROR(IF($B$4="ALL",IF(YEAR(AC$83)&lt;=2025,SUM(Targets!$B$4:$E$4),SUM(Targets!$F$4:$I$4)),IF(YEAR(AC$83)&lt;=2025,INDEX(Targets!$B$4:$E$4,MATCH($B$4,Targets!$B$3:$E$3,0)),INDEX(Targets!$F$4:$I$4,MATCH($B$4,Targets!$F$3:$I$3,0)))),NA())</f>
        <v>435051.08999999997</v>
      </c>
      <c r="AD106" s="100">
        <f>IFERROR(IF($B$4="ALL",IF(YEAR(AD$83)&lt;=2025,SUM(Targets!$B$4:$E$4),SUM(Targets!$F$4:$I$4)),IF(YEAR(AD$83)&lt;=2025,INDEX(Targets!$B$4:$E$4,MATCH($B$4,Targets!$B$3:$E$3,0)),INDEX(Targets!$F$4:$I$4,MATCH($B$4,Targets!$F$3:$I$3,0)))),NA())</f>
        <v>435051.08999999997</v>
      </c>
      <c r="AE106" s="100">
        <f>IFERROR(IF($B$4="ALL",IF(YEAR(AE$83)&lt;=2025,SUM(Targets!$B$4:$E$4),SUM(Targets!$F$4:$I$4)),IF(YEAR(AE$83)&lt;=2025,INDEX(Targets!$B$4:$E$4,MATCH($B$4,Targets!$B$3:$E$3,0)),INDEX(Targets!$F$4:$I$4,MATCH($B$4,Targets!$F$3:$I$3,0)))),NA())</f>
        <v>435051.08999999997</v>
      </c>
      <c r="AF106" s="100">
        <f>IFERROR(IF($B$4="ALL",IF(YEAR(AF$83)&lt;=2025,SUM(Targets!$B$4:$E$4),SUM(Targets!$F$4:$I$4)),IF(YEAR(AF$83)&lt;=2025,INDEX(Targets!$B$4:$E$4,MATCH($B$4,Targets!$B$3:$E$3,0)),INDEX(Targets!$F$4:$I$4,MATCH($B$4,Targets!$F$3:$I$3,0)))),NA())</f>
        <v>435051.08999999997</v>
      </c>
      <c r="AG106" s="100">
        <f>IFERROR(IF($B$4="ALL",IF(YEAR(AG$83)&lt;=2025,SUM(Targets!$B$4:$E$4),SUM(Targets!$F$4:$I$4)),IF(YEAR(AG$83)&lt;=2025,INDEX(Targets!$B$4:$E$4,MATCH($B$4,Targets!$B$3:$E$3,0)),INDEX(Targets!$F$4:$I$4,MATCH($B$4,Targets!$F$3:$I$3,0)))),NA())</f>
        <v>435051.08999999997</v>
      </c>
      <c r="AH106" s="100">
        <f>IFERROR(IF($B$4="ALL",IF(YEAR(AH$83)&lt;=2025,SUM(Targets!$B$4:$E$4),SUM(Targets!$F$4:$I$4)),IF(YEAR(AH$83)&lt;=2025,INDEX(Targets!$B$4:$E$4,MATCH($B$4,Targets!$B$3:$E$3,0)),INDEX(Targets!$F$4:$I$4,MATCH($B$4,Targets!$F$3:$I$3,0)))),NA())</f>
        <v>435051.08999999997</v>
      </c>
      <c r="AI106" s="100">
        <f>IFERROR(IF($B$4="ALL",IF(YEAR(AI$83)&lt;=2025,SUM(Targets!$B$4:$E$4),SUM(Targets!$F$4:$I$4)),IF(YEAR(AI$83)&lt;=2025,INDEX(Targets!$B$4:$E$4,MATCH($B$4,Targets!$B$3:$E$3,0)),INDEX(Targets!$F$4:$I$4,MATCH($B$4,Targets!$F$3:$I$3,0)))),NA())</f>
        <v>435051.08999999997</v>
      </c>
      <c r="AJ106" s="100">
        <f>IFERROR(IF($B$4="ALL",IF(YEAR(AJ$83)&lt;=2025,SUM(Targets!$B$4:$E$4),SUM(Targets!$F$4:$I$4)),IF(YEAR(AJ$83)&lt;=2025,INDEX(Targets!$B$4:$E$4,MATCH($B$4,Targets!$B$3:$E$3,0)),INDEX(Targets!$F$4:$I$4,MATCH($B$4,Targets!$F$3:$I$3,0)))),NA())</f>
        <v>435051.08999999997</v>
      </c>
      <c r="AK106" s="100">
        <f>IFERROR(IF($B$4="ALL",IF(YEAR(AK$83)&lt;=2025,SUM(Targets!$B$4:$E$4),SUM(Targets!$F$4:$I$4)),IF(YEAR(AK$83)&lt;=2025,INDEX(Targets!$B$4:$E$4,MATCH($B$4,Targets!$B$3:$E$3,0)),INDEX(Targets!$F$4:$I$4,MATCH($B$4,Targets!$F$3:$I$3,0)))),NA())</f>
        <v>435051.08999999997</v>
      </c>
      <c r="AL106" s="100">
        <f>IFERROR(IF($B$4="ALL",IF(YEAR(AL$83)&lt;=2025,SUM(Targets!$B$4:$E$4),SUM(Targets!$F$4:$I$4)),IF(YEAR(AL$83)&lt;=2025,INDEX(Targets!$B$4:$E$4,MATCH($B$4,Targets!$B$3:$E$3,0)),INDEX(Targets!$F$4:$I$4,MATCH($B$4,Targets!$F$3:$I$3,0)))),NA())</f>
        <v>435051.08999999997</v>
      </c>
      <c r="AM106" s="100">
        <f>IFERROR(IF($B$4="ALL",IF(YEAR(AM$83)&lt;=2025,SUM(Targets!$B$4:$E$4),SUM(Targets!$F$4:$I$4)),IF(YEAR(AM$83)&lt;=2025,INDEX(Targets!$B$4:$E$4,MATCH($B$4,Targets!$B$3:$E$3,0)),INDEX(Targets!$F$4:$I$4,MATCH($B$4,Targets!$F$3:$I$3,0)))),NA())</f>
        <v>435051.08999999997</v>
      </c>
      <c r="AN106" s="100">
        <f>IFERROR(IF($B$4="ALL",IF(YEAR(AN$83)&lt;=2025,SUM(Targets!$B$4:$E$4),SUM(Targets!$F$4:$I$4)),IF(YEAR(AN$83)&lt;=2025,INDEX(Targets!$B$4:$E$4,MATCH($B$4,Targets!$B$3:$E$3,0)),INDEX(Targets!$F$4:$I$4,MATCH($B$4,Targets!$F$3:$I$3,0)))),NA())</f>
        <v>435051.08999999997</v>
      </c>
      <c r="AO106" s="100">
        <f>IFERROR(IF($B$4="ALL",IF(YEAR(AO$83)&lt;=2025,SUM(Targets!$B$4:$E$4),SUM(Targets!$F$4:$I$4)),IF(YEAR(AO$83)&lt;=2025,INDEX(Targets!$B$4:$E$4,MATCH($B$4,Targets!$B$3:$E$3,0)),INDEX(Targets!$F$4:$I$4,MATCH($B$4,Targets!$F$3:$I$3,0)))),NA())</f>
        <v>435051.08999999997</v>
      </c>
      <c r="AP106" s="100">
        <f>IFERROR(IF($B$4="ALL",IF(YEAR(AP$83)&lt;=2025,SUM(Targets!$B$4:$E$4),SUM(Targets!$F$4:$I$4)),IF(YEAR(AP$83)&lt;=2025,INDEX(Targets!$B$4:$E$4,MATCH($B$4,Targets!$B$3:$E$3,0)),INDEX(Targets!$F$4:$I$4,MATCH($B$4,Targets!$F$3:$I$3,0)))),NA())</f>
        <v>435051.08999999997</v>
      </c>
      <c r="AQ106" s="100">
        <f>IFERROR(IF($B$4="ALL",IF(YEAR(AQ$83)&lt;=2025,SUM(Targets!$B$4:$E$4),SUM(Targets!$F$4:$I$4)),IF(YEAR(AQ$83)&lt;=2025,INDEX(Targets!$B$4:$E$4,MATCH($B$4,Targets!$B$3:$E$3,0)),INDEX(Targets!$F$4:$I$4,MATCH($B$4,Targets!$F$3:$I$3,0)))),NA())</f>
        <v>435051.08999999997</v>
      </c>
      <c r="AR106" s="100">
        <f>IFERROR(IF($B$4="ALL",IF(YEAR(AR$83)&lt;=2025,SUM(Targets!$B$4:$E$4),SUM(Targets!$F$4:$I$4)),IF(YEAR(AR$83)&lt;=2025,INDEX(Targets!$B$4:$E$4,MATCH($B$4,Targets!$B$3:$E$3,0)),INDEX(Targets!$F$4:$I$4,MATCH($B$4,Targets!$F$3:$I$3,0)))),NA())</f>
        <v>435051.08999999997</v>
      </c>
      <c r="AS106" s="100">
        <f>IFERROR(IF($B$4="ALL",IF(YEAR(AS$83)&lt;=2025,SUM(Targets!$B$4:$E$4),SUM(Targets!$F$4:$I$4)),IF(YEAR(AS$83)&lt;=2025,INDEX(Targets!$B$4:$E$4,MATCH($B$4,Targets!$B$3:$E$3,0)),INDEX(Targets!$F$4:$I$4,MATCH($B$4,Targets!$F$3:$I$3,0)))),NA())</f>
        <v>435051.08999999997</v>
      </c>
      <c r="AT106" s="100">
        <f>IFERROR(IF($B$4="ALL",IF(YEAR(AT$83)&lt;=2025,SUM(Targets!$B$4:$E$4),SUM(Targets!$F$4:$I$4)),IF(YEAR(AT$83)&lt;=2025,INDEX(Targets!$B$4:$E$4,MATCH($B$4,Targets!$B$3:$E$3,0)),INDEX(Targets!$F$4:$I$4,MATCH($B$4,Targets!$F$3:$I$3,0)))),NA())</f>
        <v>435051.08999999997</v>
      </c>
      <c r="AU106" s="100">
        <f>IFERROR(IF($B$4="ALL",IF(YEAR(AU$83)&lt;=2025,SUM(Targets!$B$4:$E$4),SUM(Targets!$F$4:$I$4)),IF(YEAR(AU$83)&lt;=2025,INDEX(Targets!$B$4:$E$4,MATCH($B$4,Targets!$B$3:$E$3,0)),INDEX(Targets!$F$4:$I$4,MATCH($B$4,Targets!$F$3:$I$3,0)))),NA())</f>
        <v>435051.08999999997</v>
      </c>
      <c r="AV106" s="100">
        <f>IFERROR(IF($B$4="ALL",IF(YEAR(AV$83)&lt;=2025,SUM(Targets!$B$4:$E$4),SUM(Targets!$F$4:$I$4)),IF(YEAR(AV$83)&lt;=2025,INDEX(Targets!$B$4:$E$4,MATCH($B$4,Targets!$B$3:$E$3,0)),INDEX(Targets!$F$4:$I$4,MATCH($B$4,Targets!$F$3:$I$3,0)))),NA())</f>
        <v>435051.08999999997</v>
      </c>
      <c r="AW106" s="100">
        <f>IFERROR(IF($B$4="ALL",IF(YEAR(AW$83)&lt;=2025,SUM(Targets!$B$4:$E$4),SUM(Targets!$F$4:$I$4)),IF(YEAR(AW$83)&lt;=2025,INDEX(Targets!$B$4:$E$4,MATCH($B$4,Targets!$B$3:$E$3,0)),INDEX(Targets!$F$4:$I$4,MATCH($B$4,Targets!$F$3:$I$3,0)))),NA())</f>
        <v>435051.08999999997</v>
      </c>
    </row>
    <row r="107" spans="1:49" x14ac:dyDescent="0.25">
      <c r="A107" s="98" t="s">
        <v>66</v>
      </c>
      <c r="B107" s="100">
        <f>IFERROR(IF($B$4="ALL",IF(YEAR(B$83)&lt;=2025,SUM(Targets!$B$5:$E$5),SUM(Targets!$F$5:$I$5)),IF(YEAR(B$83)&lt;=2025,INDEX(Targets!$B$5:$E$5,MATCH($B$4,Targets!$B$3:$E$3,0)),INDEX(Targets!$F$5:$I$5,MATCH($B$4,Targets!$F$3:$I$3,0)))),NA())</f>
        <v>4939537.49</v>
      </c>
      <c r="C107" s="100">
        <f>IFERROR(IF($B$4="ALL",IF(YEAR(C$83)&lt;=2025,SUM(Targets!$B$5:$E$5),SUM(Targets!$F$5:$I$5)),IF(YEAR(C$83)&lt;=2025,INDEX(Targets!$B$5:$E$5,MATCH($B$4,Targets!$B$3:$E$3,0)),INDEX(Targets!$F$5:$I$5,MATCH($B$4,Targets!$F$3:$I$3,0)))),NA())</f>
        <v>4939537.49</v>
      </c>
      <c r="D107" s="100">
        <f>IFERROR(IF($B$4="ALL",IF(YEAR(D$83)&lt;=2025,SUM(Targets!$B$5:$E$5),SUM(Targets!$F$5:$I$5)),IF(YEAR(D$83)&lt;=2025,INDEX(Targets!$B$5:$E$5,MATCH($B$4,Targets!$B$3:$E$3,0)),INDEX(Targets!$F$5:$I$5,MATCH($B$4,Targets!$F$3:$I$3,0)))),NA())</f>
        <v>4939537.49</v>
      </c>
      <c r="E107" s="100">
        <f>IFERROR(IF($B$4="ALL",IF(YEAR(E$83)&lt;=2025,SUM(Targets!$B$5:$E$5),SUM(Targets!$F$5:$I$5)),IF(YEAR(E$83)&lt;=2025,INDEX(Targets!$B$5:$E$5,MATCH($B$4,Targets!$B$3:$E$3,0)),INDEX(Targets!$F$5:$I$5,MATCH($B$4,Targets!$F$3:$I$3,0)))),NA())</f>
        <v>4939537.49</v>
      </c>
      <c r="F107" s="100">
        <f>IFERROR(IF($B$4="ALL",IF(YEAR(F$83)&lt;=2025,SUM(Targets!$B$5:$E$5),SUM(Targets!$F$5:$I$5)),IF(YEAR(F$83)&lt;=2025,INDEX(Targets!$B$5:$E$5,MATCH($B$4,Targets!$B$3:$E$3,0)),INDEX(Targets!$F$5:$I$5,MATCH($B$4,Targets!$F$3:$I$3,0)))),NA())</f>
        <v>4939537.49</v>
      </c>
      <c r="G107" s="100">
        <f>IFERROR(IF($B$4="ALL",IF(YEAR(G$83)&lt;=2025,SUM(Targets!$B$5:$E$5),SUM(Targets!$F$5:$I$5)),IF(YEAR(G$83)&lt;=2025,INDEX(Targets!$B$5:$E$5,MATCH($B$4,Targets!$B$3:$E$3,0)),INDEX(Targets!$F$5:$I$5,MATCH($B$4,Targets!$F$3:$I$3,0)))),NA())</f>
        <v>4939537.49</v>
      </c>
      <c r="H107" s="100">
        <f>IFERROR(IF($B$4="ALL",IF(YEAR(H$83)&lt;=2025,SUM(Targets!$B$5:$E$5),SUM(Targets!$F$5:$I$5)),IF(YEAR(H$83)&lt;=2025,INDEX(Targets!$B$5:$E$5,MATCH($B$4,Targets!$B$3:$E$3,0)),INDEX(Targets!$F$5:$I$5,MATCH($B$4,Targets!$F$3:$I$3,0)))),NA())</f>
        <v>4939537.49</v>
      </c>
      <c r="I107" s="100">
        <f>IFERROR(IF($B$4="ALL",IF(YEAR(I$83)&lt;=2025,SUM(Targets!$B$5:$E$5),SUM(Targets!$F$5:$I$5)),IF(YEAR(I$83)&lt;=2025,INDEX(Targets!$B$5:$E$5,MATCH($B$4,Targets!$B$3:$E$3,0)),INDEX(Targets!$F$5:$I$5,MATCH($B$4,Targets!$F$3:$I$3,0)))),NA())</f>
        <v>4939537.49</v>
      </c>
      <c r="J107" s="100">
        <f>IFERROR(IF($B$4="ALL",IF(YEAR(J$83)&lt;=2025,SUM(Targets!$B$5:$E$5),SUM(Targets!$F$5:$I$5)),IF(YEAR(J$83)&lt;=2025,INDEX(Targets!$B$5:$E$5,MATCH($B$4,Targets!$B$3:$E$3,0)),INDEX(Targets!$F$5:$I$5,MATCH($B$4,Targets!$F$3:$I$3,0)))),NA())</f>
        <v>4939537.49</v>
      </c>
      <c r="K107" s="100">
        <f>IFERROR(IF($B$4="ALL",IF(YEAR(K$83)&lt;=2025,SUM(Targets!$B$5:$E$5),SUM(Targets!$F$5:$I$5)),IF(YEAR(K$83)&lt;=2025,INDEX(Targets!$B$5:$E$5,MATCH($B$4,Targets!$B$3:$E$3,0)),INDEX(Targets!$F$5:$I$5,MATCH($B$4,Targets!$F$3:$I$3,0)))),NA())</f>
        <v>4939537.49</v>
      </c>
      <c r="L107" s="100">
        <f>IFERROR(IF($B$4="ALL",IF(YEAR(L$83)&lt;=2025,SUM(Targets!$B$5:$E$5),SUM(Targets!$F$5:$I$5)),IF(YEAR(L$83)&lt;=2025,INDEX(Targets!$B$5:$E$5,MATCH($B$4,Targets!$B$3:$E$3,0)),INDEX(Targets!$F$5:$I$5,MATCH($B$4,Targets!$F$3:$I$3,0)))),NA())</f>
        <v>4939537.49</v>
      </c>
      <c r="M107" s="100">
        <f>IFERROR(IF($B$4="ALL",IF(YEAR(M$83)&lt;=2025,SUM(Targets!$B$5:$E$5),SUM(Targets!$F$5:$I$5)),IF(YEAR(M$83)&lt;=2025,INDEX(Targets!$B$5:$E$5,MATCH($B$4,Targets!$B$3:$E$3,0)),INDEX(Targets!$F$5:$I$5,MATCH($B$4,Targets!$F$3:$I$3,0)))),NA())</f>
        <v>4939537.49</v>
      </c>
      <c r="N107" s="100">
        <f>IFERROR(IF($B$4="ALL",IF(YEAR(N$83)&lt;=2025,SUM(Targets!$B$5:$E$5),SUM(Targets!$F$5:$I$5)),IF(YEAR(N$83)&lt;=2025,INDEX(Targets!$B$5:$E$5,MATCH($B$4,Targets!$B$3:$E$3,0)),INDEX(Targets!$F$5:$I$5,MATCH($B$4,Targets!$F$3:$I$3,0)))),NA())</f>
        <v>4939537.49</v>
      </c>
      <c r="O107" s="100">
        <f>IFERROR(IF($B$4="ALL",IF(YEAR(O$83)&lt;=2025,SUM(Targets!$B$5:$E$5),SUM(Targets!$F$5:$I$5)),IF(YEAR(O$83)&lt;=2025,INDEX(Targets!$B$5:$E$5,MATCH($B$4,Targets!$B$3:$E$3,0)),INDEX(Targets!$F$5:$I$5,MATCH($B$4,Targets!$F$3:$I$3,0)))),NA())</f>
        <v>4939537.49</v>
      </c>
      <c r="P107" s="100">
        <f>IFERROR(IF($B$4="ALL",IF(YEAR(P$83)&lt;=2025,SUM(Targets!$B$5:$E$5),SUM(Targets!$F$5:$I$5)),IF(YEAR(P$83)&lt;=2025,INDEX(Targets!$B$5:$E$5,MATCH($B$4,Targets!$B$3:$E$3,0)),INDEX(Targets!$F$5:$I$5,MATCH($B$4,Targets!$F$3:$I$3,0)))),NA())</f>
        <v>4939537.49</v>
      </c>
      <c r="Q107" s="100">
        <f>IFERROR(IF($B$4="ALL",IF(YEAR(Q$83)&lt;=2025,SUM(Targets!$B$5:$E$5),SUM(Targets!$F$5:$I$5)),IF(YEAR(Q$83)&lt;=2025,INDEX(Targets!$B$5:$E$5,MATCH($B$4,Targets!$B$3:$E$3,0)),INDEX(Targets!$F$5:$I$5,MATCH($B$4,Targets!$F$3:$I$3,0)))),NA())</f>
        <v>4939537.49</v>
      </c>
      <c r="R107" s="100">
        <f>IFERROR(IF($B$4="ALL",IF(YEAR(R$83)&lt;=2025,SUM(Targets!$B$5:$E$5),SUM(Targets!$F$5:$I$5)),IF(YEAR(R$83)&lt;=2025,INDEX(Targets!$B$5:$E$5,MATCH($B$4,Targets!$B$3:$E$3,0)),INDEX(Targets!$F$5:$I$5,MATCH($B$4,Targets!$F$3:$I$3,0)))),NA())</f>
        <v>4939537.49</v>
      </c>
      <c r="S107" s="100">
        <f>IFERROR(IF($B$4="ALL",IF(YEAR(S$83)&lt;=2025,SUM(Targets!$B$5:$E$5),SUM(Targets!$F$5:$I$5)),IF(YEAR(S$83)&lt;=2025,INDEX(Targets!$B$5:$E$5,MATCH($B$4,Targets!$B$3:$E$3,0)),INDEX(Targets!$F$5:$I$5,MATCH($B$4,Targets!$F$3:$I$3,0)))),NA())</f>
        <v>4939537.49</v>
      </c>
      <c r="T107" s="100">
        <f>IFERROR(IF($B$4="ALL",IF(YEAR(T$83)&lt;=2025,SUM(Targets!$B$5:$E$5),SUM(Targets!$F$5:$I$5)),IF(YEAR(T$83)&lt;=2025,INDEX(Targets!$B$5:$E$5,MATCH($B$4,Targets!$B$3:$E$3,0)),INDEX(Targets!$F$5:$I$5,MATCH($B$4,Targets!$F$3:$I$3,0)))),NA())</f>
        <v>4939537.49</v>
      </c>
      <c r="U107" s="100">
        <f>IFERROR(IF($B$4="ALL",IF(YEAR(U$83)&lt;=2025,SUM(Targets!$B$5:$E$5),SUM(Targets!$F$5:$I$5)),IF(YEAR(U$83)&lt;=2025,INDEX(Targets!$B$5:$E$5,MATCH($B$4,Targets!$B$3:$E$3,0)),INDEX(Targets!$F$5:$I$5,MATCH($B$4,Targets!$F$3:$I$3,0)))),NA())</f>
        <v>4939537.49</v>
      </c>
      <c r="V107" s="100">
        <f>IFERROR(IF($B$4="ALL",IF(YEAR(V$83)&lt;=2025,SUM(Targets!$B$5:$E$5),SUM(Targets!$F$5:$I$5)),IF(YEAR(V$83)&lt;=2025,INDEX(Targets!$B$5:$E$5,MATCH($B$4,Targets!$B$3:$E$3,0)),INDEX(Targets!$F$5:$I$5,MATCH($B$4,Targets!$F$3:$I$3,0)))),NA())</f>
        <v>4939537.49</v>
      </c>
      <c r="W107" s="100">
        <f>IFERROR(IF($B$4="ALL",IF(YEAR(W$83)&lt;=2025,SUM(Targets!$B$5:$E$5),SUM(Targets!$F$5:$I$5)),IF(YEAR(W$83)&lt;=2025,INDEX(Targets!$B$5:$E$5,MATCH($B$4,Targets!$B$3:$E$3,0)),INDEX(Targets!$F$5:$I$5,MATCH($B$4,Targets!$F$3:$I$3,0)))),NA())</f>
        <v>4939537.49</v>
      </c>
      <c r="X107" s="100">
        <f>IFERROR(IF($B$4="ALL",IF(YEAR(X$83)&lt;=2025,SUM(Targets!$B$5:$E$5),SUM(Targets!$F$5:$I$5)),IF(YEAR(X$83)&lt;=2025,INDEX(Targets!$B$5:$E$5,MATCH($B$4,Targets!$B$3:$E$3,0)),INDEX(Targets!$F$5:$I$5,MATCH($B$4,Targets!$F$3:$I$3,0)))),NA())</f>
        <v>4939537.49</v>
      </c>
      <c r="Y107" s="100">
        <f>IFERROR(IF($B$4="ALL",IF(YEAR(Y$83)&lt;=2025,SUM(Targets!$B$5:$E$5),SUM(Targets!$F$5:$I$5)),IF(YEAR(Y$83)&lt;=2025,INDEX(Targets!$B$5:$E$5,MATCH($B$4,Targets!$B$3:$E$3,0)),INDEX(Targets!$F$5:$I$5,MATCH($B$4,Targets!$F$3:$I$3,0)))),NA())</f>
        <v>4939537.49</v>
      </c>
      <c r="Z107" s="100">
        <f>IFERROR(IF($B$4="ALL",IF(YEAR(Z$83)&lt;=2025,SUM(Targets!$B$5:$E$5),SUM(Targets!$F$5:$I$5)),IF(YEAR(Z$83)&lt;=2025,INDEX(Targets!$B$5:$E$5,MATCH($B$4,Targets!$B$3:$E$3,0)),INDEX(Targets!$F$5:$I$5,MATCH($B$4,Targets!$F$3:$I$3,0)))),NA())</f>
        <v>6187377.6699999999</v>
      </c>
      <c r="AA107" s="100">
        <f>IFERROR(IF($B$4="ALL",IF(YEAR(AA$83)&lt;=2025,SUM(Targets!$B$5:$E$5),SUM(Targets!$F$5:$I$5)),IF(YEAR(AA$83)&lt;=2025,INDEX(Targets!$B$5:$E$5,MATCH($B$4,Targets!$B$3:$E$3,0)),INDEX(Targets!$F$5:$I$5,MATCH($B$4,Targets!$F$3:$I$3,0)))),NA())</f>
        <v>6187377.6699999999</v>
      </c>
      <c r="AB107" s="100">
        <f>IFERROR(IF($B$4="ALL",IF(YEAR(AB$83)&lt;=2025,SUM(Targets!$B$5:$E$5),SUM(Targets!$F$5:$I$5)),IF(YEAR(AB$83)&lt;=2025,INDEX(Targets!$B$5:$E$5,MATCH($B$4,Targets!$B$3:$E$3,0)),INDEX(Targets!$F$5:$I$5,MATCH($B$4,Targets!$F$3:$I$3,0)))),NA())</f>
        <v>6187377.6699999999</v>
      </c>
      <c r="AC107" s="100">
        <f>IFERROR(IF($B$4="ALL",IF(YEAR(AC$83)&lt;=2025,SUM(Targets!$B$5:$E$5),SUM(Targets!$F$5:$I$5)),IF(YEAR(AC$83)&lt;=2025,INDEX(Targets!$B$5:$E$5,MATCH($B$4,Targets!$B$3:$E$3,0)),INDEX(Targets!$F$5:$I$5,MATCH($B$4,Targets!$F$3:$I$3,0)))),NA())</f>
        <v>6187377.6699999999</v>
      </c>
      <c r="AD107" s="100">
        <f>IFERROR(IF($B$4="ALL",IF(YEAR(AD$83)&lt;=2025,SUM(Targets!$B$5:$E$5),SUM(Targets!$F$5:$I$5)),IF(YEAR(AD$83)&lt;=2025,INDEX(Targets!$B$5:$E$5,MATCH($B$4,Targets!$B$3:$E$3,0)),INDEX(Targets!$F$5:$I$5,MATCH($B$4,Targets!$F$3:$I$3,0)))),NA())</f>
        <v>6187377.6699999999</v>
      </c>
      <c r="AE107" s="100">
        <f>IFERROR(IF($B$4="ALL",IF(YEAR(AE$83)&lt;=2025,SUM(Targets!$B$5:$E$5),SUM(Targets!$F$5:$I$5)),IF(YEAR(AE$83)&lt;=2025,INDEX(Targets!$B$5:$E$5,MATCH($B$4,Targets!$B$3:$E$3,0)),INDEX(Targets!$F$5:$I$5,MATCH($B$4,Targets!$F$3:$I$3,0)))),NA())</f>
        <v>6187377.6699999999</v>
      </c>
      <c r="AF107" s="100">
        <f>IFERROR(IF($B$4="ALL",IF(YEAR(AF$83)&lt;=2025,SUM(Targets!$B$5:$E$5),SUM(Targets!$F$5:$I$5)),IF(YEAR(AF$83)&lt;=2025,INDEX(Targets!$B$5:$E$5,MATCH($B$4,Targets!$B$3:$E$3,0)),INDEX(Targets!$F$5:$I$5,MATCH($B$4,Targets!$F$3:$I$3,0)))),NA())</f>
        <v>6187377.6699999999</v>
      </c>
      <c r="AG107" s="100">
        <f>IFERROR(IF($B$4="ALL",IF(YEAR(AG$83)&lt;=2025,SUM(Targets!$B$5:$E$5),SUM(Targets!$F$5:$I$5)),IF(YEAR(AG$83)&lt;=2025,INDEX(Targets!$B$5:$E$5,MATCH($B$4,Targets!$B$3:$E$3,0)),INDEX(Targets!$F$5:$I$5,MATCH($B$4,Targets!$F$3:$I$3,0)))),NA())</f>
        <v>6187377.6699999999</v>
      </c>
      <c r="AH107" s="100">
        <f>IFERROR(IF($B$4="ALL",IF(YEAR(AH$83)&lt;=2025,SUM(Targets!$B$5:$E$5),SUM(Targets!$F$5:$I$5)),IF(YEAR(AH$83)&lt;=2025,INDEX(Targets!$B$5:$E$5,MATCH($B$4,Targets!$B$3:$E$3,0)),INDEX(Targets!$F$5:$I$5,MATCH($B$4,Targets!$F$3:$I$3,0)))),NA())</f>
        <v>6187377.6699999999</v>
      </c>
      <c r="AI107" s="100">
        <f>IFERROR(IF($B$4="ALL",IF(YEAR(AI$83)&lt;=2025,SUM(Targets!$B$5:$E$5),SUM(Targets!$F$5:$I$5)),IF(YEAR(AI$83)&lt;=2025,INDEX(Targets!$B$5:$E$5,MATCH($B$4,Targets!$B$3:$E$3,0)),INDEX(Targets!$F$5:$I$5,MATCH($B$4,Targets!$F$3:$I$3,0)))),NA())</f>
        <v>6187377.6699999999</v>
      </c>
      <c r="AJ107" s="100">
        <f>IFERROR(IF($B$4="ALL",IF(YEAR(AJ$83)&lt;=2025,SUM(Targets!$B$5:$E$5),SUM(Targets!$F$5:$I$5)),IF(YEAR(AJ$83)&lt;=2025,INDEX(Targets!$B$5:$E$5,MATCH($B$4,Targets!$B$3:$E$3,0)),INDEX(Targets!$F$5:$I$5,MATCH($B$4,Targets!$F$3:$I$3,0)))),NA())</f>
        <v>6187377.6699999999</v>
      </c>
      <c r="AK107" s="100">
        <f>IFERROR(IF($B$4="ALL",IF(YEAR(AK$83)&lt;=2025,SUM(Targets!$B$5:$E$5),SUM(Targets!$F$5:$I$5)),IF(YEAR(AK$83)&lt;=2025,INDEX(Targets!$B$5:$E$5,MATCH($B$4,Targets!$B$3:$E$3,0)),INDEX(Targets!$F$5:$I$5,MATCH($B$4,Targets!$F$3:$I$3,0)))),NA())</f>
        <v>6187377.6699999999</v>
      </c>
      <c r="AL107" s="100">
        <f>IFERROR(IF($B$4="ALL",IF(YEAR(AL$83)&lt;=2025,SUM(Targets!$B$5:$E$5),SUM(Targets!$F$5:$I$5)),IF(YEAR(AL$83)&lt;=2025,INDEX(Targets!$B$5:$E$5,MATCH($B$4,Targets!$B$3:$E$3,0)),INDEX(Targets!$F$5:$I$5,MATCH($B$4,Targets!$F$3:$I$3,0)))),NA())</f>
        <v>6187377.6699999999</v>
      </c>
      <c r="AM107" s="100">
        <f>IFERROR(IF($B$4="ALL",IF(YEAR(AM$83)&lt;=2025,SUM(Targets!$B$5:$E$5),SUM(Targets!$F$5:$I$5)),IF(YEAR(AM$83)&lt;=2025,INDEX(Targets!$B$5:$E$5,MATCH($B$4,Targets!$B$3:$E$3,0)),INDEX(Targets!$F$5:$I$5,MATCH($B$4,Targets!$F$3:$I$3,0)))),NA())</f>
        <v>6187377.6699999999</v>
      </c>
      <c r="AN107" s="100">
        <f>IFERROR(IF($B$4="ALL",IF(YEAR(AN$83)&lt;=2025,SUM(Targets!$B$5:$E$5),SUM(Targets!$F$5:$I$5)),IF(YEAR(AN$83)&lt;=2025,INDEX(Targets!$B$5:$E$5,MATCH($B$4,Targets!$B$3:$E$3,0)),INDEX(Targets!$F$5:$I$5,MATCH($B$4,Targets!$F$3:$I$3,0)))),NA())</f>
        <v>6187377.6699999999</v>
      </c>
      <c r="AO107" s="100">
        <f>IFERROR(IF($B$4="ALL",IF(YEAR(AO$83)&lt;=2025,SUM(Targets!$B$5:$E$5),SUM(Targets!$F$5:$I$5)),IF(YEAR(AO$83)&lt;=2025,INDEX(Targets!$B$5:$E$5,MATCH($B$4,Targets!$B$3:$E$3,0)),INDEX(Targets!$F$5:$I$5,MATCH($B$4,Targets!$F$3:$I$3,0)))),NA())</f>
        <v>6187377.6699999999</v>
      </c>
      <c r="AP107" s="100">
        <f>IFERROR(IF($B$4="ALL",IF(YEAR(AP$83)&lt;=2025,SUM(Targets!$B$5:$E$5),SUM(Targets!$F$5:$I$5)),IF(YEAR(AP$83)&lt;=2025,INDEX(Targets!$B$5:$E$5,MATCH($B$4,Targets!$B$3:$E$3,0)),INDEX(Targets!$F$5:$I$5,MATCH($B$4,Targets!$F$3:$I$3,0)))),NA())</f>
        <v>6187377.6699999999</v>
      </c>
      <c r="AQ107" s="100">
        <f>IFERROR(IF($B$4="ALL",IF(YEAR(AQ$83)&lt;=2025,SUM(Targets!$B$5:$E$5),SUM(Targets!$F$5:$I$5)),IF(YEAR(AQ$83)&lt;=2025,INDEX(Targets!$B$5:$E$5,MATCH($B$4,Targets!$B$3:$E$3,0)),INDEX(Targets!$F$5:$I$5,MATCH($B$4,Targets!$F$3:$I$3,0)))),NA())</f>
        <v>6187377.6699999999</v>
      </c>
      <c r="AR107" s="100">
        <f>IFERROR(IF($B$4="ALL",IF(YEAR(AR$83)&lt;=2025,SUM(Targets!$B$5:$E$5),SUM(Targets!$F$5:$I$5)),IF(YEAR(AR$83)&lt;=2025,INDEX(Targets!$B$5:$E$5,MATCH($B$4,Targets!$B$3:$E$3,0)),INDEX(Targets!$F$5:$I$5,MATCH($B$4,Targets!$F$3:$I$3,0)))),NA())</f>
        <v>6187377.6699999999</v>
      </c>
      <c r="AS107" s="100">
        <f>IFERROR(IF($B$4="ALL",IF(YEAR(AS$83)&lt;=2025,SUM(Targets!$B$5:$E$5),SUM(Targets!$F$5:$I$5)),IF(YEAR(AS$83)&lt;=2025,INDEX(Targets!$B$5:$E$5,MATCH($B$4,Targets!$B$3:$E$3,0)),INDEX(Targets!$F$5:$I$5,MATCH($B$4,Targets!$F$3:$I$3,0)))),NA())</f>
        <v>6187377.6699999999</v>
      </c>
      <c r="AT107" s="100">
        <f>IFERROR(IF($B$4="ALL",IF(YEAR(AT$83)&lt;=2025,SUM(Targets!$B$5:$E$5),SUM(Targets!$F$5:$I$5)),IF(YEAR(AT$83)&lt;=2025,INDEX(Targets!$B$5:$E$5,MATCH($B$4,Targets!$B$3:$E$3,0)),INDEX(Targets!$F$5:$I$5,MATCH($B$4,Targets!$F$3:$I$3,0)))),NA())</f>
        <v>6187377.6699999999</v>
      </c>
      <c r="AU107" s="100">
        <f>IFERROR(IF($B$4="ALL",IF(YEAR(AU$83)&lt;=2025,SUM(Targets!$B$5:$E$5),SUM(Targets!$F$5:$I$5)),IF(YEAR(AU$83)&lt;=2025,INDEX(Targets!$B$5:$E$5,MATCH($B$4,Targets!$B$3:$E$3,0)),INDEX(Targets!$F$5:$I$5,MATCH($B$4,Targets!$F$3:$I$3,0)))),NA())</f>
        <v>6187377.6699999999</v>
      </c>
      <c r="AV107" s="100">
        <f>IFERROR(IF($B$4="ALL",IF(YEAR(AV$83)&lt;=2025,SUM(Targets!$B$5:$E$5),SUM(Targets!$F$5:$I$5)),IF(YEAR(AV$83)&lt;=2025,INDEX(Targets!$B$5:$E$5,MATCH($B$4,Targets!$B$3:$E$3,0)),INDEX(Targets!$F$5:$I$5,MATCH($B$4,Targets!$F$3:$I$3,0)))),NA())</f>
        <v>6187377.6699999999</v>
      </c>
      <c r="AW107" s="100">
        <f>IFERROR(IF($B$4="ALL",IF(YEAR(AW$83)&lt;=2025,SUM(Targets!$B$5:$E$5),SUM(Targets!$F$5:$I$5)),IF(YEAR(AW$83)&lt;=2025,INDEX(Targets!$B$5:$E$5,MATCH($B$4,Targets!$B$3:$E$3,0)),INDEX(Targets!$F$5:$I$5,MATCH($B$4,Targets!$F$3:$I$3,0)))),NA())</f>
        <v>6187377.6699999999</v>
      </c>
    </row>
    <row r="108" spans="1:49" x14ac:dyDescent="0.25">
      <c r="A108" s="98" t="s">
        <v>67</v>
      </c>
      <c r="B108" s="100">
        <f>IFERROR(IF($B$4="ALL",IF(YEAR(B$83)&lt;=2025,SUM(Targets!$B$6:$E$6),SUM(Targets!$F$6:$I$6)),IF(YEAR(B$83)&lt;=2025,INDEX(Targets!$B$6:$E$6,MATCH($B$4,Targets!$B$3:$E$3,0)),INDEX(Targets!$F$6:$I$6,MATCH($B$4,Targets!$F$3:$I$3,0)))),NA())</f>
        <v>4939537.49</v>
      </c>
      <c r="C108" s="100">
        <f>IFERROR(IF($B$4="ALL",IF(YEAR(C$83)&lt;=2025,SUM(Targets!$B$6:$E$6),SUM(Targets!$F$6:$I$6)),IF(YEAR(C$83)&lt;=2025,INDEX(Targets!$B$6:$E$6,MATCH($B$4,Targets!$B$3:$E$3,0)),INDEX(Targets!$F$6:$I$6,MATCH($B$4,Targets!$F$3:$I$3,0)))),NA())</f>
        <v>4939537.49</v>
      </c>
      <c r="D108" s="100">
        <f>IFERROR(IF($B$4="ALL",IF(YEAR(D$83)&lt;=2025,SUM(Targets!$B$6:$E$6),SUM(Targets!$F$6:$I$6)),IF(YEAR(D$83)&lt;=2025,INDEX(Targets!$B$6:$E$6,MATCH($B$4,Targets!$B$3:$E$3,0)),INDEX(Targets!$F$6:$I$6,MATCH($B$4,Targets!$F$3:$I$3,0)))),NA())</f>
        <v>4939537.49</v>
      </c>
      <c r="E108" s="100">
        <f>IFERROR(IF($B$4="ALL",IF(YEAR(E$83)&lt;=2025,SUM(Targets!$B$6:$E$6),SUM(Targets!$F$6:$I$6)),IF(YEAR(E$83)&lt;=2025,INDEX(Targets!$B$6:$E$6,MATCH($B$4,Targets!$B$3:$E$3,0)),INDEX(Targets!$F$6:$I$6,MATCH($B$4,Targets!$F$3:$I$3,0)))),NA())</f>
        <v>4939537.49</v>
      </c>
      <c r="F108" s="100">
        <f>IFERROR(IF($B$4="ALL",IF(YEAR(F$83)&lt;=2025,SUM(Targets!$B$6:$E$6),SUM(Targets!$F$6:$I$6)),IF(YEAR(F$83)&lt;=2025,INDEX(Targets!$B$6:$E$6,MATCH($B$4,Targets!$B$3:$E$3,0)),INDEX(Targets!$F$6:$I$6,MATCH($B$4,Targets!$F$3:$I$3,0)))),NA())</f>
        <v>4939537.49</v>
      </c>
      <c r="G108" s="100">
        <f>IFERROR(IF($B$4="ALL",IF(YEAR(G$83)&lt;=2025,SUM(Targets!$B$6:$E$6),SUM(Targets!$F$6:$I$6)),IF(YEAR(G$83)&lt;=2025,INDEX(Targets!$B$6:$E$6,MATCH($B$4,Targets!$B$3:$E$3,0)),INDEX(Targets!$F$6:$I$6,MATCH($B$4,Targets!$F$3:$I$3,0)))),NA())</f>
        <v>4939537.49</v>
      </c>
      <c r="H108" s="100">
        <f>IFERROR(IF($B$4="ALL",IF(YEAR(H$83)&lt;=2025,SUM(Targets!$B$6:$E$6),SUM(Targets!$F$6:$I$6)),IF(YEAR(H$83)&lt;=2025,INDEX(Targets!$B$6:$E$6,MATCH($B$4,Targets!$B$3:$E$3,0)),INDEX(Targets!$F$6:$I$6,MATCH($B$4,Targets!$F$3:$I$3,0)))),NA())</f>
        <v>4939537.49</v>
      </c>
      <c r="I108" s="100">
        <f>IFERROR(IF($B$4="ALL",IF(YEAR(I$83)&lt;=2025,SUM(Targets!$B$6:$E$6),SUM(Targets!$F$6:$I$6)),IF(YEAR(I$83)&lt;=2025,INDEX(Targets!$B$6:$E$6,MATCH($B$4,Targets!$B$3:$E$3,0)),INDEX(Targets!$F$6:$I$6,MATCH($B$4,Targets!$F$3:$I$3,0)))),NA())</f>
        <v>4939537.49</v>
      </c>
      <c r="J108" s="100">
        <f>IFERROR(IF($B$4="ALL",IF(YEAR(J$83)&lt;=2025,SUM(Targets!$B$6:$E$6),SUM(Targets!$F$6:$I$6)),IF(YEAR(J$83)&lt;=2025,INDEX(Targets!$B$6:$E$6,MATCH($B$4,Targets!$B$3:$E$3,0)),INDEX(Targets!$F$6:$I$6,MATCH($B$4,Targets!$F$3:$I$3,0)))),NA())</f>
        <v>4939537.49</v>
      </c>
      <c r="K108" s="100">
        <f>IFERROR(IF($B$4="ALL",IF(YEAR(K$83)&lt;=2025,SUM(Targets!$B$6:$E$6),SUM(Targets!$F$6:$I$6)),IF(YEAR(K$83)&lt;=2025,INDEX(Targets!$B$6:$E$6,MATCH($B$4,Targets!$B$3:$E$3,0)),INDEX(Targets!$F$6:$I$6,MATCH($B$4,Targets!$F$3:$I$3,0)))),NA())</f>
        <v>4939537.49</v>
      </c>
      <c r="L108" s="100">
        <f>IFERROR(IF($B$4="ALL",IF(YEAR(L$83)&lt;=2025,SUM(Targets!$B$6:$E$6),SUM(Targets!$F$6:$I$6)),IF(YEAR(L$83)&lt;=2025,INDEX(Targets!$B$6:$E$6,MATCH($B$4,Targets!$B$3:$E$3,0)),INDEX(Targets!$F$6:$I$6,MATCH($B$4,Targets!$F$3:$I$3,0)))),NA())</f>
        <v>4939537.49</v>
      </c>
      <c r="M108" s="100">
        <f>IFERROR(IF($B$4="ALL",IF(YEAR(M$83)&lt;=2025,SUM(Targets!$B$6:$E$6),SUM(Targets!$F$6:$I$6)),IF(YEAR(M$83)&lt;=2025,INDEX(Targets!$B$6:$E$6,MATCH($B$4,Targets!$B$3:$E$3,0)),INDEX(Targets!$F$6:$I$6,MATCH($B$4,Targets!$F$3:$I$3,0)))),NA())</f>
        <v>4939537.49</v>
      </c>
      <c r="N108" s="100">
        <f>IFERROR(IF($B$4="ALL",IF(YEAR(N$83)&lt;=2025,SUM(Targets!$B$6:$E$6),SUM(Targets!$F$6:$I$6)),IF(YEAR(N$83)&lt;=2025,INDEX(Targets!$B$6:$E$6,MATCH($B$4,Targets!$B$3:$E$3,0)),INDEX(Targets!$F$6:$I$6,MATCH($B$4,Targets!$F$3:$I$3,0)))),NA())</f>
        <v>4939537.49</v>
      </c>
      <c r="O108" s="100">
        <f>IFERROR(IF($B$4="ALL",IF(YEAR(O$83)&lt;=2025,SUM(Targets!$B$6:$E$6),SUM(Targets!$F$6:$I$6)),IF(YEAR(O$83)&lt;=2025,INDEX(Targets!$B$6:$E$6,MATCH($B$4,Targets!$B$3:$E$3,0)),INDEX(Targets!$F$6:$I$6,MATCH($B$4,Targets!$F$3:$I$3,0)))),NA())</f>
        <v>4939537.49</v>
      </c>
      <c r="P108" s="100">
        <f>IFERROR(IF($B$4="ALL",IF(YEAR(P$83)&lt;=2025,SUM(Targets!$B$6:$E$6),SUM(Targets!$F$6:$I$6)),IF(YEAR(P$83)&lt;=2025,INDEX(Targets!$B$6:$E$6,MATCH($B$4,Targets!$B$3:$E$3,0)),INDEX(Targets!$F$6:$I$6,MATCH($B$4,Targets!$F$3:$I$3,0)))),NA())</f>
        <v>4939537.49</v>
      </c>
      <c r="Q108" s="100">
        <f>IFERROR(IF($B$4="ALL",IF(YEAR(Q$83)&lt;=2025,SUM(Targets!$B$6:$E$6),SUM(Targets!$F$6:$I$6)),IF(YEAR(Q$83)&lt;=2025,INDEX(Targets!$B$6:$E$6,MATCH($B$4,Targets!$B$3:$E$3,0)),INDEX(Targets!$F$6:$I$6,MATCH($B$4,Targets!$F$3:$I$3,0)))),NA())</f>
        <v>4939537.49</v>
      </c>
      <c r="R108" s="100">
        <f>IFERROR(IF($B$4="ALL",IF(YEAR(R$83)&lt;=2025,SUM(Targets!$B$6:$E$6),SUM(Targets!$F$6:$I$6)),IF(YEAR(R$83)&lt;=2025,INDEX(Targets!$B$6:$E$6,MATCH($B$4,Targets!$B$3:$E$3,0)),INDEX(Targets!$F$6:$I$6,MATCH($B$4,Targets!$F$3:$I$3,0)))),NA())</f>
        <v>4939537.49</v>
      </c>
      <c r="S108" s="100">
        <f>IFERROR(IF($B$4="ALL",IF(YEAR(S$83)&lt;=2025,SUM(Targets!$B$6:$E$6),SUM(Targets!$F$6:$I$6)),IF(YEAR(S$83)&lt;=2025,INDEX(Targets!$B$6:$E$6,MATCH($B$4,Targets!$B$3:$E$3,0)),INDEX(Targets!$F$6:$I$6,MATCH($B$4,Targets!$F$3:$I$3,0)))),NA())</f>
        <v>4939537.49</v>
      </c>
      <c r="T108" s="100">
        <f>IFERROR(IF($B$4="ALL",IF(YEAR(T$83)&lt;=2025,SUM(Targets!$B$6:$E$6),SUM(Targets!$F$6:$I$6)),IF(YEAR(T$83)&lt;=2025,INDEX(Targets!$B$6:$E$6,MATCH($B$4,Targets!$B$3:$E$3,0)),INDEX(Targets!$F$6:$I$6,MATCH($B$4,Targets!$F$3:$I$3,0)))),NA())</f>
        <v>4939537.49</v>
      </c>
      <c r="U108" s="100">
        <f>IFERROR(IF($B$4="ALL",IF(YEAR(U$83)&lt;=2025,SUM(Targets!$B$6:$E$6),SUM(Targets!$F$6:$I$6)),IF(YEAR(U$83)&lt;=2025,INDEX(Targets!$B$6:$E$6,MATCH($B$4,Targets!$B$3:$E$3,0)),INDEX(Targets!$F$6:$I$6,MATCH($B$4,Targets!$F$3:$I$3,0)))),NA())</f>
        <v>4939537.49</v>
      </c>
      <c r="V108" s="100">
        <f>IFERROR(IF($B$4="ALL",IF(YEAR(V$83)&lt;=2025,SUM(Targets!$B$6:$E$6),SUM(Targets!$F$6:$I$6)),IF(YEAR(V$83)&lt;=2025,INDEX(Targets!$B$6:$E$6,MATCH($B$4,Targets!$B$3:$E$3,0)),INDEX(Targets!$F$6:$I$6,MATCH($B$4,Targets!$F$3:$I$3,0)))),NA())</f>
        <v>4939537.49</v>
      </c>
      <c r="W108" s="100">
        <f>IFERROR(IF($B$4="ALL",IF(YEAR(W$83)&lt;=2025,SUM(Targets!$B$6:$E$6),SUM(Targets!$F$6:$I$6)),IF(YEAR(W$83)&lt;=2025,INDEX(Targets!$B$6:$E$6,MATCH($B$4,Targets!$B$3:$E$3,0)),INDEX(Targets!$F$6:$I$6,MATCH($B$4,Targets!$F$3:$I$3,0)))),NA())</f>
        <v>4939537.49</v>
      </c>
      <c r="X108" s="100">
        <f>IFERROR(IF($B$4="ALL",IF(YEAR(X$83)&lt;=2025,SUM(Targets!$B$6:$E$6),SUM(Targets!$F$6:$I$6)),IF(YEAR(X$83)&lt;=2025,INDEX(Targets!$B$6:$E$6,MATCH($B$4,Targets!$B$3:$E$3,0)),INDEX(Targets!$F$6:$I$6,MATCH($B$4,Targets!$F$3:$I$3,0)))),NA())</f>
        <v>4939537.49</v>
      </c>
      <c r="Y108" s="100">
        <f>IFERROR(IF($B$4="ALL",IF(YEAR(Y$83)&lt;=2025,SUM(Targets!$B$6:$E$6),SUM(Targets!$F$6:$I$6)),IF(YEAR(Y$83)&lt;=2025,INDEX(Targets!$B$6:$E$6,MATCH($B$4,Targets!$B$3:$E$3,0)),INDEX(Targets!$F$6:$I$6,MATCH($B$4,Targets!$F$3:$I$3,0)))),NA())</f>
        <v>4939537.49</v>
      </c>
      <c r="Z108" s="100">
        <f>IFERROR(IF($B$4="ALL",IF(YEAR(Z$83)&lt;=2025,SUM(Targets!$B$6:$E$6),SUM(Targets!$F$6:$I$6)),IF(YEAR(Z$83)&lt;=2025,INDEX(Targets!$B$6:$E$6,MATCH($B$4,Targets!$B$3:$E$3,0)),INDEX(Targets!$F$6:$I$6,MATCH($B$4,Targets!$F$3:$I$3,0)))),NA())</f>
        <v>6187377.6699999999</v>
      </c>
      <c r="AA108" s="100">
        <f>IFERROR(IF($B$4="ALL",IF(YEAR(AA$83)&lt;=2025,SUM(Targets!$B$6:$E$6),SUM(Targets!$F$6:$I$6)),IF(YEAR(AA$83)&lt;=2025,INDEX(Targets!$B$6:$E$6,MATCH($B$4,Targets!$B$3:$E$3,0)),INDEX(Targets!$F$6:$I$6,MATCH($B$4,Targets!$F$3:$I$3,0)))),NA())</f>
        <v>6187377.6699999999</v>
      </c>
      <c r="AB108" s="100">
        <f>IFERROR(IF($B$4="ALL",IF(YEAR(AB$83)&lt;=2025,SUM(Targets!$B$6:$E$6),SUM(Targets!$F$6:$I$6)),IF(YEAR(AB$83)&lt;=2025,INDEX(Targets!$B$6:$E$6,MATCH($B$4,Targets!$B$3:$E$3,0)),INDEX(Targets!$F$6:$I$6,MATCH($B$4,Targets!$F$3:$I$3,0)))),NA())</f>
        <v>6187377.6699999999</v>
      </c>
      <c r="AC108" s="100">
        <f>IFERROR(IF($B$4="ALL",IF(YEAR(AC$83)&lt;=2025,SUM(Targets!$B$6:$E$6),SUM(Targets!$F$6:$I$6)),IF(YEAR(AC$83)&lt;=2025,INDEX(Targets!$B$6:$E$6,MATCH($B$4,Targets!$B$3:$E$3,0)),INDEX(Targets!$F$6:$I$6,MATCH($B$4,Targets!$F$3:$I$3,0)))),NA())</f>
        <v>6187377.6699999999</v>
      </c>
      <c r="AD108" s="100">
        <f>IFERROR(IF($B$4="ALL",IF(YEAR(AD$83)&lt;=2025,SUM(Targets!$B$6:$E$6),SUM(Targets!$F$6:$I$6)),IF(YEAR(AD$83)&lt;=2025,INDEX(Targets!$B$6:$E$6,MATCH($B$4,Targets!$B$3:$E$3,0)),INDEX(Targets!$F$6:$I$6,MATCH($B$4,Targets!$F$3:$I$3,0)))),NA())</f>
        <v>6187377.6699999999</v>
      </c>
      <c r="AE108" s="100">
        <f>IFERROR(IF($B$4="ALL",IF(YEAR(AE$83)&lt;=2025,SUM(Targets!$B$6:$E$6),SUM(Targets!$F$6:$I$6)),IF(YEAR(AE$83)&lt;=2025,INDEX(Targets!$B$6:$E$6,MATCH($B$4,Targets!$B$3:$E$3,0)),INDEX(Targets!$F$6:$I$6,MATCH($B$4,Targets!$F$3:$I$3,0)))),NA())</f>
        <v>6187377.6699999999</v>
      </c>
      <c r="AF108" s="100">
        <f>IFERROR(IF($B$4="ALL",IF(YEAR(AF$83)&lt;=2025,SUM(Targets!$B$6:$E$6),SUM(Targets!$F$6:$I$6)),IF(YEAR(AF$83)&lt;=2025,INDEX(Targets!$B$6:$E$6,MATCH($B$4,Targets!$B$3:$E$3,0)),INDEX(Targets!$F$6:$I$6,MATCH($B$4,Targets!$F$3:$I$3,0)))),NA())</f>
        <v>6187377.6699999999</v>
      </c>
      <c r="AG108" s="100">
        <f>IFERROR(IF($B$4="ALL",IF(YEAR(AG$83)&lt;=2025,SUM(Targets!$B$6:$E$6),SUM(Targets!$F$6:$I$6)),IF(YEAR(AG$83)&lt;=2025,INDEX(Targets!$B$6:$E$6,MATCH($B$4,Targets!$B$3:$E$3,0)),INDEX(Targets!$F$6:$I$6,MATCH($B$4,Targets!$F$3:$I$3,0)))),NA())</f>
        <v>6187377.6699999999</v>
      </c>
      <c r="AH108" s="100">
        <f>IFERROR(IF($B$4="ALL",IF(YEAR(AH$83)&lt;=2025,SUM(Targets!$B$6:$E$6),SUM(Targets!$F$6:$I$6)),IF(YEAR(AH$83)&lt;=2025,INDEX(Targets!$B$6:$E$6,MATCH($B$4,Targets!$B$3:$E$3,0)),INDEX(Targets!$F$6:$I$6,MATCH($B$4,Targets!$F$3:$I$3,0)))),NA())</f>
        <v>6187377.6699999999</v>
      </c>
      <c r="AI108" s="100">
        <f>IFERROR(IF($B$4="ALL",IF(YEAR(AI$83)&lt;=2025,SUM(Targets!$B$6:$E$6),SUM(Targets!$F$6:$I$6)),IF(YEAR(AI$83)&lt;=2025,INDEX(Targets!$B$6:$E$6,MATCH($B$4,Targets!$B$3:$E$3,0)),INDEX(Targets!$F$6:$I$6,MATCH($B$4,Targets!$F$3:$I$3,0)))),NA())</f>
        <v>6187377.6699999999</v>
      </c>
      <c r="AJ108" s="100">
        <f>IFERROR(IF($B$4="ALL",IF(YEAR(AJ$83)&lt;=2025,SUM(Targets!$B$6:$E$6),SUM(Targets!$F$6:$I$6)),IF(YEAR(AJ$83)&lt;=2025,INDEX(Targets!$B$6:$E$6,MATCH($B$4,Targets!$B$3:$E$3,0)),INDEX(Targets!$F$6:$I$6,MATCH($B$4,Targets!$F$3:$I$3,0)))),NA())</f>
        <v>6187377.6699999999</v>
      </c>
      <c r="AK108" s="100">
        <f>IFERROR(IF($B$4="ALL",IF(YEAR(AK$83)&lt;=2025,SUM(Targets!$B$6:$E$6),SUM(Targets!$F$6:$I$6)),IF(YEAR(AK$83)&lt;=2025,INDEX(Targets!$B$6:$E$6,MATCH($B$4,Targets!$B$3:$E$3,0)),INDEX(Targets!$F$6:$I$6,MATCH($B$4,Targets!$F$3:$I$3,0)))),NA())</f>
        <v>6187377.6699999999</v>
      </c>
      <c r="AL108" s="100">
        <f>IFERROR(IF($B$4="ALL",IF(YEAR(AL$83)&lt;=2025,SUM(Targets!$B$6:$E$6),SUM(Targets!$F$6:$I$6)),IF(YEAR(AL$83)&lt;=2025,INDEX(Targets!$B$6:$E$6,MATCH($B$4,Targets!$B$3:$E$3,0)),INDEX(Targets!$F$6:$I$6,MATCH($B$4,Targets!$F$3:$I$3,0)))),NA())</f>
        <v>6187377.6699999999</v>
      </c>
      <c r="AM108" s="100">
        <f>IFERROR(IF($B$4="ALL",IF(YEAR(AM$83)&lt;=2025,SUM(Targets!$B$6:$E$6),SUM(Targets!$F$6:$I$6)),IF(YEAR(AM$83)&lt;=2025,INDEX(Targets!$B$6:$E$6,MATCH($B$4,Targets!$B$3:$E$3,0)),INDEX(Targets!$F$6:$I$6,MATCH($B$4,Targets!$F$3:$I$3,0)))),NA())</f>
        <v>6187377.6699999999</v>
      </c>
      <c r="AN108" s="100">
        <f>IFERROR(IF($B$4="ALL",IF(YEAR(AN$83)&lt;=2025,SUM(Targets!$B$6:$E$6),SUM(Targets!$F$6:$I$6)),IF(YEAR(AN$83)&lt;=2025,INDEX(Targets!$B$6:$E$6,MATCH($B$4,Targets!$B$3:$E$3,0)),INDEX(Targets!$F$6:$I$6,MATCH($B$4,Targets!$F$3:$I$3,0)))),NA())</f>
        <v>6187377.6699999999</v>
      </c>
      <c r="AO108" s="100">
        <f>IFERROR(IF($B$4="ALL",IF(YEAR(AO$83)&lt;=2025,SUM(Targets!$B$6:$E$6),SUM(Targets!$F$6:$I$6)),IF(YEAR(AO$83)&lt;=2025,INDEX(Targets!$B$6:$E$6,MATCH($B$4,Targets!$B$3:$E$3,0)),INDEX(Targets!$F$6:$I$6,MATCH($B$4,Targets!$F$3:$I$3,0)))),NA())</f>
        <v>6187377.6699999999</v>
      </c>
      <c r="AP108" s="100">
        <f>IFERROR(IF($B$4="ALL",IF(YEAR(AP$83)&lt;=2025,SUM(Targets!$B$6:$E$6),SUM(Targets!$F$6:$I$6)),IF(YEAR(AP$83)&lt;=2025,INDEX(Targets!$B$6:$E$6,MATCH($B$4,Targets!$B$3:$E$3,0)),INDEX(Targets!$F$6:$I$6,MATCH($B$4,Targets!$F$3:$I$3,0)))),NA())</f>
        <v>6187377.6699999999</v>
      </c>
      <c r="AQ108" s="100">
        <f>IFERROR(IF($B$4="ALL",IF(YEAR(AQ$83)&lt;=2025,SUM(Targets!$B$6:$E$6),SUM(Targets!$F$6:$I$6)),IF(YEAR(AQ$83)&lt;=2025,INDEX(Targets!$B$6:$E$6,MATCH($B$4,Targets!$B$3:$E$3,0)),INDEX(Targets!$F$6:$I$6,MATCH($B$4,Targets!$F$3:$I$3,0)))),NA())</f>
        <v>6187377.6699999999</v>
      </c>
      <c r="AR108" s="100">
        <f>IFERROR(IF($B$4="ALL",IF(YEAR(AR$83)&lt;=2025,SUM(Targets!$B$6:$E$6),SUM(Targets!$F$6:$I$6)),IF(YEAR(AR$83)&lt;=2025,INDEX(Targets!$B$6:$E$6,MATCH($B$4,Targets!$B$3:$E$3,0)),INDEX(Targets!$F$6:$I$6,MATCH($B$4,Targets!$F$3:$I$3,0)))),NA())</f>
        <v>6187377.6699999999</v>
      </c>
      <c r="AS108" s="100">
        <f>IFERROR(IF($B$4="ALL",IF(YEAR(AS$83)&lt;=2025,SUM(Targets!$B$6:$E$6),SUM(Targets!$F$6:$I$6)),IF(YEAR(AS$83)&lt;=2025,INDEX(Targets!$B$6:$E$6,MATCH($B$4,Targets!$B$3:$E$3,0)),INDEX(Targets!$F$6:$I$6,MATCH($B$4,Targets!$F$3:$I$3,0)))),NA())</f>
        <v>6187377.6699999999</v>
      </c>
      <c r="AT108" s="100">
        <f>IFERROR(IF($B$4="ALL",IF(YEAR(AT$83)&lt;=2025,SUM(Targets!$B$6:$E$6),SUM(Targets!$F$6:$I$6)),IF(YEAR(AT$83)&lt;=2025,INDEX(Targets!$B$6:$E$6,MATCH($B$4,Targets!$B$3:$E$3,0)),INDEX(Targets!$F$6:$I$6,MATCH($B$4,Targets!$F$3:$I$3,0)))),NA())</f>
        <v>6187377.6699999999</v>
      </c>
      <c r="AU108" s="100">
        <f>IFERROR(IF($B$4="ALL",IF(YEAR(AU$83)&lt;=2025,SUM(Targets!$B$6:$E$6),SUM(Targets!$F$6:$I$6)),IF(YEAR(AU$83)&lt;=2025,INDEX(Targets!$B$6:$E$6,MATCH($B$4,Targets!$B$3:$E$3,0)),INDEX(Targets!$F$6:$I$6,MATCH($B$4,Targets!$F$3:$I$3,0)))),NA())</f>
        <v>6187377.6699999999</v>
      </c>
      <c r="AV108" s="100">
        <f>IFERROR(IF($B$4="ALL",IF(YEAR(AV$83)&lt;=2025,SUM(Targets!$B$6:$E$6),SUM(Targets!$F$6:$I$6)),IF(YEAR(AV$83)&lt;=2025,INDEX(Targets!$B$6:$E$6,MATCH($B$4,Targets!$B$3:$E$3,0)),INDEX(Targets!$F$6:$I$6,MATCH($B$4,Targets!$F$3:$I$3,0)))),NA())</f>
        <v>6187377.6699999999</v>
      </c>
      <c r="AW108" s="100">
        <f>IFERROR(IF($B$4="ALL",IF(YEAR(AW$83)&lt;=2025,SUM(Targets!$B$6:$E$6),SUM(Targets!$F$6:$I$6)),IF(YEAR(AW$83)&lt;=2025,INDEX(Targets!$B$6:$E$6,MATCH($B$4,Targets!$B$3:$E$3,0)),INDEX(Targets!$F$6:$I$6,MATCH($B$4,Targets!$F$3:$I$3,0)))),NA())</f>
        <v>6187377.6699999999</v>
      </c>
    </row>
    <row r="109" spans="1:49" x14ac:dyDescent="0.25">
      <c r="A109" s="98" t="s">
        <v>68</v>
      </c>
      <c r="B109" s="117">
        <f>IFERROR(B108/B107,NA())</f>
        <v>1</v>
      </c>
      <c r="C109" s="117">
        <f t="shared" ref="C109:AW109" si="10">IFERROR(C108/C107,NA())</f>
        <v>1</v>
      </c>
      <c r="D109" s="117">
        <f t="shared" si="10"/>
        <v>1</v>
      </c>
      <c r="E109" s="117">
        <f t="shared" si="10"/>
        <v>1</v>
      </c>
      <c r="F109" s="117">
        <f t="shared" si="10"/>
        <v>1</v>
      </c>
      <c r="G109" s="117">
        <f t="shared" si="10"/>
        <v>1</v>
      </c>
      <c r="H109" s="117">
        <f t="shared" si="10"/>
        <v>1</v>
      </c>
      <c r="I109" s="117">
        <f t="shared" si="10"/>
        <v>1</v>
      </c>
      <c r="J109" s="117">
        <f t="shared" si="10"/>
        <v>1</v>
      </c>
      <c r="K109" s="117">
        <f t="shared" si="10"/>
        <v>1</v>
      </c>
      <c r="L109" s="117">
        <f t="shared" si="10"/>
        <v>1</v>
      </c>
      <c r="M109" s="117">
        <f t="shared" si="10"/>
        <v>1</v>
      </c>
      <c r="N109" s="117">
        <f t="shared" si="10"/>
        <v>1</v>
      </c>
      <c r="O109" s="117">
        <f t="shared" si="10"/>
        <v>1</v>
      </c>
      <c r="P109" s="117">
        <f t="shared" si="10"/>
        <v>1</v>
      </c>
      <c r="Q109" s="117">
        <f t="shared" si="10"/>
        <v>1</v>
      </c>
      <c r="R109" s="117">
        <f t="shared" si="10"/>
        <v>1</v>
      </c>
      <c r="S109" s="117">
        <f t="shared" si="10"/>
        <v>1</v>
      </c>
      <c r="T109" s="117">
        <f t="shared" si="10"/>
        <v>1</v>
      </c>
      <c r="U109" s="117">
        <f t="shared" si="10"/>
        <v>1</v>
      </c>
      <c r="V109" s="117">
        <f t="shared" si="10"/>
        <v>1</v>
      </c>
      <c r="W109" s="117">
        <f t="shared" si="10"/>
        <v>1</v>
      </c>
      <c r="X109" s="117">
        <f t="shared" si="10"/>
        <v>1</v>
      </c>
      <c r="Y109" s="117">
        <f t="shared" si="10"/>
        <v>1</v>
      </c>
      <c r="Z109" s="117">
        <f t="shared" si="10"/>
        <v>1</v>
      </c>
      <c r="AA109" s="117">
        <f t="shared" si="10"/>
        <v>1</v>
      </c>
      <c r="AB109" s="117">
        <f t="shared" si="10"/>
        <v>1</v>
      </c>
      <c r="AC109" s="117">
        <f t="shared" si="10"/>
        <v>1</v>
      </c>
      <c r="AD109" s="117">
        <f t="shared" si="10"/>
        <v>1</v>
      </c>
      <c r="AE109" s="117">
        <f t="shared" si="10"/>
        <v>1</v>
      </c>
      <c r="AF109" s="117">
        <f t="shared" si="10"/>
        <v>1</v>
      </c>
      <c r="AG109" s="117">
        <f t="shared" si="10"/>
        <v>1</v>
      </c>
      <c r="AH109" s="117">
        <f t="shared" si="10"/>
        <v>1</v>
      </c>
      <c r="AI109" s="117">
        <f t="shared" si="10"/>
        <v>1</v>
      </c>
      <c r="AJ109" s="117">
        <f t="shared" si="10"/>
        <v>1</v>
      </c>
      <c r="AK109" s="117">
        <f t="shared" si="10"/>
        <v>1</v>
      </c>
      <c r="AL109" s="117">
        <f t="shared" si="10"/>
        <v>1</v>
      </c>
      <c r="AM109" s="117">
        <f t="shared" si="10"/>
        <v>1</v>
      </c>
      <c r="AN109" s="117">
        <f t="shared" si="10"/>
        <v>1</v>
      </c>
      <c r="AO109" s="117">
        <f t="shared" si="10"/>
        <v>1</v>
      </c>
      <c r="AP109" s="117">
        <f t="shared" si="10"/>
        <v>1</v>
      </c>
      <c r="AQ109" s="117">
        <f t="shared" si="10"/>
        <v>1</v>
      </c>
      <c r="AR109" s="117">
        <f t="shared" si="10"/>
        <v>1</v>
      </c>
      <c r="AS109" s="117">
        <f t="shared" si="10"/>
        <v>1</v>
      </c>
      <c r="AT109" s="117">
        <f t="shared" si="10"/>
        <v>1</v>
      </c>
      <c r="AU109" s="117">
        <f t="shared" si="10"/>
        <v>1</v>
      </c>
      <c r="AV109" s="117">
        <f t="shared" si="10"/>
        <v>1</v>
      </c>
      <c r="AW109" s="117">
        <f t="shared" si="10"/>
        <v>1</v>
      </c>
    </row>
    <row r="110" spans="1:49" x14ac:dyDescent="0.25">
      <c r="A110" s="98" t="s">
        <v>69</v>
      </c>
      <c r="B110" s="101">
        <f>IFERROR(IF($B$4="ALL",AVERAGE(Targets!$F$7:$I$7),INDEX(Targets!$F$7:$I$7,MATCH($B$4,Targets!$F$3:$I$3,0)))/100,NA())</f>
        <v>0.42200000000000004</v>
      </c>
      <c r="C110" s="101">
        <f>IFERROR(IF($B$4="ALL",AVERAGE(Targets!$F$7:$I$7),INDEX(Targets!$F$7:$I$7,MATCH($B$4,Targets!$F$3:$I$3,0)))/100,NA())</f>
        <v>0.42200000000000004</v>
      </c>
      <c r="D110" s="101">
        <f>IFERROR(IF($B$4="ALL",AVERAGE(Targets!$F$7:$I$7),INDEX(Targets!$F$7:$I$7,MATCH($B$4,Targets!$F$3:$I$3,0)))/100,NA())</f>
        <v>0.42200000000000004</v>
      </c>
      <c r="E110" s="101">
        <f>IFERROR(IF($B$4="ALL",AVERAGE(Targets!$F$7:$I$7),INDEX(Targets!$F$7:$I$7,MATCH($B$4,Targets!$F$3:$I$3,0)))/100,NA())</f>
        <v>0.42200000000000004</v>
      </c>
      <c r="F110" s="101">
        <f>IFERROR(IF($B$4="ALL",AVERAGE(Targets!$F$7:$I$7),INDEX(Targets!$F$7:$I$7,MATCH($B$4,Targets!$F$3:$I$3,0)))/100,NA())</f>
        <v>0.42200000000000004</v>
      </c>
      <c r="G110" s="101">
        <f>IFERROR(IF($B$4="ALL",AVERAGE(Targets!$F$7:$I$7),INDEX(Targets!$F$7:$I$7,MATCH($B$4,Targets!$F$3:$I$3,0)))/100,NA())</f>
        <v>0.42200000000000004</v>
      </c>
      <c r="H110" s="101">
        <f>IFERROR(IF($B$4="ALL",AVERAGE(Targets!$F$7:$I$7),INDEX(Targets!$F$7:$I$7,MATCH($B$4,Targets!$F$3:$I$3,0)))/100,NA())</f>
        <v>0.42200000000000004</v>
      </c>
      <c r="I110" s="101">
        <f>IFERROR(IF($B$4="ALL",AVERAGE(Targets!$F$7:$I$7),INDEX(Targets!$F$7:$I$7,MATCH($B$4,Targets!$F$3:$I$3,0)))/100,NA())</f>
        <v>0.42200000000000004</v>
      </c>
      <c r="J110" s="101">
        <f>IFERROR(IF($B$4="ALL",AVERAGE(Targets!$F$7:$I$7),INDEX(Targets!$F$7:$I$7,MATCH($B$4,Targets!$F$3:$I$3,0)))/100,NA())</f>
        <v>0.42200000000000004</v>
      </c>
      <c r="K110" s="101">
        <f>IFERROR(IF($B$4="ALL",AVERAGE(Targets!$F$7:$I$7),INDEX(Targets!$F$7:$I$7,MATCH($B$4,Targets!$F$3:$I$3,0)))/100,NA())</f>
        <v>0.42200000000000004</v>
      </c>
      <c r="L110" s="101">
        <f>IFERROR(IF($B$4="ALL",AVERAGE(Targets!$F$7:$I$7),INDEX(Targets!$F$7:$I$7,MATCH($B$4,Targets!$F$3:$I$3,0)))/100,NA())</f>
        <v>0.42200000000000004</v>
      </c>
      <c r="M110" s="101">
        <f>IFERROR(IF($B$4="ALL",AVERAGE(Targets!$F$7:$I$7),INDEX(Targets!$F$7:$I$7,MATCH($B$4,Targets!$F$3:$I$3,0)))/100,NA())</f>
        <v>0.42200000000000004</v>
      </c>
      <c r="N110" s="101">
        <f>IFERROR(IF($B$4="ALL",AVERAGE(Targets!$F$7:$I$7),INDEX(Targets!$F$7:$I$7,MATCH($B$4,Targets!$F$3:$I$3,0)))/100,NA())</f>
        <v>0.42200000000000004</v>
      </c>
      <c r="O110" s="101">
        <f>IFERROR(IF($B$4="ALL",AVERAGE(Targets!$F$7:$I$7),INDEX(Targets!$F$7:$I$7,MATCH($B$4,Targets!$F$3:$I$3,0)))/100,NA())</f>
        <v>0.42200000000000004</v>
      </c>
      <c r="P110" s="101">
        <f>IFERROR(IF($B$4="ALL",AVERAGE(Targets!$F$7:$I$7),INDEX(Targets!$F$7:$I$7,MATCH($B$4,Targets!$F$3:$I$3,0)))/100,NA())</f>
        <v>0.42200000000000004</v>
      </c>
      <c r="Q110" s="101">
        <f>IFERROR(IF($B$4="ALL",AVERAGE(Targets!$F$7:$I$7),INDEX(Targets!$F$7:$I$7,MATCH($B$4,Targets!$F$3:$I$3,0)))/100,NA())</f>
        <v>0.42200000000000004</v>
      </c>
      <c r="R110" s="101">
        <f>IFERROR(IF($B$4="ALL",AVERAGE(Targets!$F$7:$I$7),INDEX(Targets!$F$7:$I$7,MATCH($B$4,Targets!$F$3:$I$3,0)))/100,NA())</f>
        <v>0.42200000000000004</v>
      </c>
      <c r="S110" s="101">
        <f>IFERROR(IF($B$4="ALL",AVERAGE(Targets!$F$7:$I$7),INDEX(Targets!$F$7:$I$7,MATCH($B$4,Targets!$F$3:$I$3,0)))/100,NA())</f>
        <v>0.42200000000000004</v>
      </c>
      <c r="T110" s="101">
        <f>IFERROR(IF($B$4="ALL",AVERAGE(Targets!$F$7:$I$7),INDEX(Targets!$F$7:$I$7,MATCH($B$4,Targets!$F$3:$I$3,0)))/100,NA())</f>
        <v>0.42200000000000004</v>
      </c>
      <c r="U110" s="101">
        <f>IFERROR(IF($B$4="ALL",AVERAGE(Targets!$F$7:$I$7),INDEX(Targets!$F$7:$I$7,MATCH($B$4,Targets!$F$3:$I$3,0)))/100,NA())</f>
        <v>0.42200000000000004</v>
      </c>
      <c r="V110" s="101">
        <f>IFERROR(IF($B$4="ALL",AVERAGE(Targets!$F$7:$I$7),INDEX(Targets!$F$7:$I$7,MATCH($B$4,Targets!$F$3:$I$3,0)))/100,NA())</f>
        <v>0.42200000000000004</v>
      </c>
      <c r="W110" s="101">
        <f>IFERROR(IF($B$4="ALL",AVERAGE(Targets!$F$7:$I$7),INDEX(Targets!$F$7:$I$7,MATCH($B$4,Targets!$F$3:$I$3,0)))/100,NA())</f>
        <v>0.42200000000000004</v>
      </c>
      <c r="X110" s="101">
        <f>IFERROR(IF($B$4="ALL",AVERAGE(Targets!$F$7:$I$7),INDEX(Targets!$F$7:$I$7,MATCH($B$4,Targets!$F$3:$I$3,0)))/100,NA())</f>
        <v>0.42200000000000004</v>
      </c>
      <c r="Y110" s="101">
        <f>IFERROR(IF($B$4="ALL",AVERAGE(Targets!$F$7:$I$7),INDEX(Targets!$F$7:$I$7,MATCH($B$4,Targets!$F$3:$I$3,0)))/100,NA())</f>
        <v>0.42200000000000004</v>
      </c>
      <c r="Z110" s="101">
        <f>IFERROR(IF($B$4="ALL",AVERAGE(Targets!$F$7:$I$7),INDEX(Targets!$F$7:$I$7,MATCH($B$4,Targets!$F$3:$I$3,0)))/100,NA())</f>
        <v>0.42200000000000004</v>
      </c>
      <c r="AA110" s="101">
        <f>IFERROR(IF($B$4="ALL",AVERAGE(Targets!$F$7:$I$7),INDEX(Targets!$F$7:$I$7,MATCH($B$4,Targets!$F$3:$I$3,0)))/100,NA())</f>
        <v>0.42200000000000004</v>
      </c>
      <c r="AB110" s="101">
        <f>IFERROR(IF($B$4="ALL",AVERAGE(Targets!$F$7:$I$7),INDEX(Targets!$F$7:$I$7,MATCH($B$4,Targets!$F$3:$I$3,0)))/100,NA())</f>
        <v>0.42200000000000004</v>
      </c>
      <c r="AC110" s="101">
        <f>IFERROR(IF($B$4="ALL",AVERAGE(Targets!$F$7:$I$7),INDEX(Targets!$F$7:$I$7,MATCH($B$4,Targets!$F$3:$I$3,0)))/100,NA())</f>
        <v>0.42200000000000004</v>
      </c>
      <c r="AD110" s="101">
        <f>IFERROR(IF($B$4="ALL",AVERAGE(Targets!$F$7:$I$7),INDEX(Targets!$F$7:$I$7,MATCH($B$4,Targets!$F$3:$I$3,0)))/100,NA())</f>
        <v>0.42200000000000004</v>
      </c>
      <c r="AE110" s="101">
        <f>IFERROR(IF($B$4="ALL",AVERAGE(Targets!$F$7:$I$7),INDEX(Targets!$F$7:$I$7,MATCH($B$4,Targets!$F$3:$I$3,0)))/100,NA())</f>
        <v>0.42200000000000004</v>
      </c>
      <c r="AF110" s="101">
        <f>IFERROR(IF($B$4="ALL",AVERAGE(Targets!$F$7:$I$7),INDEX(Targets!$F$7:$I$7,MATCH($B$4,Targets!$F$3:$I$3,0)))/100,NA())</f>
        <v>0.42200000000000004</v>
      </c>
      <c r="AG110" s="101">
        <f>IFERROR(IF($B$4="ALL",AVERAGE(Targets!$F$7:$I$7),INDEX(Targets!$F$7:$I$7,MATCH($B$4,Targets!$F$3:$I$3,0)))/100,NA())</f>
        <v>0.42200000000000004</v>
      </c>
      <c r="AH110" s="101">
        <f>IFERROR(IF($B$4="ALL",AVERAGE(Targets!$F$7:$I$7),INDEX(Targets!$F$7:$I$7,MATCH($B$4,Targets!$F$3:$I$3,0)))/100,NA())</f>
        <v>0.42200000000000004</v>
      </c>
      <c r="AI110" s="101">
        <f>IFERROR(IF($B$4="ALL",AVERAGE(Targets!$F$7:$I$7),INDEX(Targets!$F$7:$I$7,MATCH($B$4,Targets!$F$3:$I$3,0)))/100,NA())</f>
        <v>0.42200000000000004</v>
      </c>
      <c r="AJ110" s="101">
        <f>IFERROR(IF($B$4="ALL",AVERAGE(Targets!$F$7:$I$7),INDEX(Targets!$F$7:$I$7,MATCH($B$4,Targets!$F$3:$I$3,0)))/100,NA())</f>
        <v>0.42200000000000004</v>
      </c>
      <c r="AK110" s="101">
        <f>IFERROR(IF($B$4="ALL",AVERAGE(Targets!$F$7:$I$7),INDEX(Targets!$F$7:$I$7,MATCH($B$4,Targets!$F$3:$I$3,0)))/100,NA())</f>
        <v>0.42200000000000004</v>
      </c>
      <c r="AL110" s="101">
        <f>IFERROR(IF($B$4="ALL",AVERAGE(Targets!$F$7:$I$7),INDEX(Targets!$F$7:$I$7,MATCH($B$4,Targets!$F$3:$I$3,0)))/100,NA())</f>
        <v>0.42200000000000004</v>
      </c>
      <c r="AM110" s="101">
        <f>IFERROR(IF($B$4="ALL",AVERAGE(Targets!$F$7:$I$7),INDEX(Targets!$F$7:$I$7,MATCH($B$4,Targets!$F$3:$I$3,0)))/100,NA())</f>
        <v>0.42200000000000004</v>
      </c>
      <c r="AN110" s="101">
        <f>IFERROR(IF($B$4="ALL",AVERAGE(Targets!$F$7:$I$7),INDEX(Targets!$F$7:$I$7,MATCH($B$4,Targets!$F$3:$I$3,0)))/100,NA())</f>
        <v>0.42200000000000004</v>
      </c>
      <c r="AO110" s="101">
        <f>IFERROR(IF($B$4="ALL",AVERAGE(Targets!$F$7:$I$7),INDEX(Targets!$F$7:$I$7,MATCH($B$4,Targets!$F$3:$I$3,0)))/100,NA())</f>
        <v>0.42200000000000004</v>
      </c>
      <c r="AP110" s="101">
        <f>IFERROR(IF($B$4="ALL",AVERAGE(Targets!$F$7:$I$7),INDEX(Targets!$F$7:$I$7,MATCH($B$4,Targets!$F$3:$I$3,0)))/100,NA())</f>
        <v>0.42200000000000004</v>
      </c>
      <c r="AQ110" s="101">
        <f>IFERROR(IF($B$4="ALL",AVERAGE(Targets!$F$7:$I$7),INDEX(Targets!$F$7:$I$7,MATCH($B$4,Targets!$F$3:$I$3,0)))/100,NA())</f>
        <v>0.42200000000000004</v>
      </c>
      <c r="AR110" s="101">
        <f>IFERROR(IF($B$4="ALL",AVERAGE(Targets!$F$7:$I$7),INDEX(Targets!$F$7:$I$7,MATCH($B$4,Targets!$F$3:$I$3,0)))/100,NA())</f>
        <v>0.42200000000000004</v>
      </c>
      <c r="AS110" s="101">
        <f>IFERROR(IF($B$4="ALL",AVERAGE(Targets!$F$7:$I$7),INDEX(Targets!$F$7:$I$7,MATCH($B$4,Targets!$F$3:$I$3,0)))/100,NA())</f>
        <v>0.42200000000000004</v>
      </c>
      <c r="AT110" s="101">
        <f>IFERROR(IF($B$4="ALL",AVERAGE(Targets!$F$7:$I$7),INDEX(Targets!$F$7:$I$7,MATCH($B$4,Targets!$F$3:$I$3,0)))/100,NA())</f>
        <v>0.42200000000000004</v>
      </c>
      <c r="AU110" s="101">
        <f>IFERROR(IF($B$4="ALL",AVERAGE(Targets!$F$7:$I$7),INDEX(Targets!$F$7:$I$7,MATCH($B$4,Targets!$F$3:$I$3,0)))/100,NA())</f>
        <v>0.42200000000000004</v>
      </c>
      <c r="AV110" s="101">
        <f>IFERROR(IF($B$4="ALL",AVERAGE(Targets!$F$7:$I$7),INDEX(Targets!$F$7:$I$7,MATCH($B$4,Targets!$F$3:$I$3,0)))/100,NA())</f>
        <v>0.42200000000000004</v>
      </c>
      <c r="AW110" s="101">
        <f>IFERROR(IF($B$4="ALL",AVERAGE(Targets!$F$7:$I$7),INDEX(Targets!$F$7:$I$7,MATCH($B$4,Targets!$F$3:$I$3,0)))/100,NA())</f>
        <v>0.42200000000000004</v>
      </c>
    </row>
    <row r="111" spans="1:49" x14ac:dyDescent="0.25">
      <c r="A111" s="98" t="s">
        <v>70</v>
      </c>
      <c r="B111" s="115">
        <f>IFERROR(IF($B$4="ALL",IF(YEAR(B$83)&lt;=2025,AVERAGE(Targets!$B$9:$E$9),AVERAGE(Targets!$F$9:$I$9)),IF(YEAR(B$83)&lt;=2025,INDEX(Targets!$B$9:$E$9,MATCH($B$4,Targets!$B$3:$E$3,0)),INDEX(Targets!$F$9:$I$9,MATCH($B$4,Targets!$F$3:$I$3,0)))),NA())</f>
        <v>2</v>
      </c>
      <c r="C111" s="115">
        <f>IFERROR(IF($B$4="ALL",IF(YEAR(C$83)&lt;=2025,AVERAGE(Targets!$B$9:$E$9),AVERAGE(Targets!$F$9:$I$9)),IF(YEAR(C$83)&lt;=2025,INDEX(Targets!$B$9:$E$9,MATCH($B$4,Targets!$B$3:$E$3,0)),INDEX(Targets!$F$9:$I$9,MATCH($B$4,Targets!$F$3:$I$3,0)))),NA())</f>
        <v>2</v>
      </c>
      <c r="D111" s="115">
        <f>IFERROR(IF($B$4="ALL",IF(YEAR(D$83)&lt;=2025,AVERAGE(Targets!$B$9:$E$9),AVERAGE(Targets!$F$9:$I$9)),IF(YEAR(D$83)&lt;=2025,INDEX(Targets!$B$9:$E$9,MATCH($B$4,Targets!$B$3:$E$3,0)),INDEX(Targets!$F$9:$I$9,MATCH($B$4,Targets!$F$3:$I$3,0)))),NA())</f>
        <v>2</v>
      </c>
      <c r="E111" s="115">
        <f>IFERROR(IF($B$4="ALL",IF(YEAR(E$83)&lt;=2025,AVERAGE(Targets!$B$9:$E$9),AVERAGE(Targets!$F$9:$I$9)),IF(YEAR(E$83)&lt;=2025,INDEX(Targets!$B$9:$E$9,MATCH($B$4,Targets!$B$3:$E$3,0)),INDEX(Targets!$F$9:$I$9,MATCH($B$4,Targets!$F$3:$I$3,0)))),NA())</f>
        <v>2</v>
      </c>
      <c r="F111" s="115">
        <f>IFERROR(IF($B$4="ALL",IF(YEAR(F$83)&lt;=2025,AVERAGE(Targets!$B$9:$E$9),AVERAGE(Targets!$F$9:$I$9)),IF(YEAR(F$83)&lt;=2025,INDEX(Targets!$B$9:$E$9,MATCH($B$4,Targets!$B$3:$E$3,0)),INDEX(Targets!$F$9:$I$9,MATCH($B$4,Targets!$F$3:$I$3,0)))),NA())</f>
        <v>2</v>
      </c>
      <c r="G111" s="115">
        <f>IFERROR(IF($B$4="ALL",IF(YEAR(G$83)&lt;=2025,AVERAGE(Targets!$B$9:$E$9),AVERAGE(Targets!$F$9:$I$9)),IF(YEAR(G$83)&lt;=2025,INDEX(Targets!$B$9:$E$9,MATCH($B$4,Targets!$B$3:$E$3,0)),INDEX(Targets!$F$9:$I$9,MATCH($B$4,Targets!$F$3:$I$3,0)))),NA())</f>
        <v>2</v>
      </c>
      <c r="H111" s="115">
        <f>IFERROR(IF($B$4="ALL",IF(YEAR(H$83)&lt;=2025,AVERAGE(Targets!$B$9:$E$9),AVERAGE(Targets!$F$9:$I$9)),IF(YEAR(H$83)&lt;=2025,INDEX(Targets!$B$9:$E$9,MATCH($B$4,Targets!$B$3:$E$3,0)),INDEX(Targets!$F$9:$I$9,MATCH($B$4,Targets!$F$3:$I$3,0)))),NA())</f>
        <v>2</v>
      </c>
      <c r="I111" s="115">
        <f>IFERROR(IF($B$4="ALL",IF(YEAR(I$83)&lt;=2025,AVERAGE(Targets!$B$9:$E$9),AVERAGE(Targets!$F$9:$I$9)),IF(YEAR(I$83)&lt;=2025,INDEX(Targets!$B$9:$E$9,MATCH($B$4,Targets!$B$3:$E$3,0)),INDEX(Targets!$F$9:$I$9,MATCH($B$4,Targets!$F$3:$I$3,0)))),NA())</f>
        <v>2</v>
      </c>
      <c r="J111" s="115">
        <f>IFERROR(IF($B$4="ALL",IF(YEAR(J$83)&lt;=2025,AVERAGE(Targets!$B$9:$E$9),AVERAGE(Targets!$F$9:$I$9)),IF(YEAR(J$83)&lt;=2025,INDEX(Targets!$B$9:$E$9,MATCH($B$4,Targets!$B$3:$E$3,0)),INDEX(Targets!$F$9:$I$9,MATCH($B$4,Targets!$F$3:$I$3,0)))),NA())</f>
        <v>2</v>
      </c>
      <c r="K111" s="115">
        <f>IFERROR(IF($B$4="ALL",IF(YEAR(K$83)&lt;=2025,AVERAGE(Targets!$B$9:$E$9),AVERAGE(Targets!$F$9:$I$9)),IF(YEAR(K$83)&lt;=2025,INDEX(Targets!$B$9:$E$9,MATCH($B$4,Targets!$B$3:$E$3,0)),INDEX(Targets!$F$9:$I$9,MATCH($B$4,Targets!$F$3:$I$3,0)))),NA())</f>
        <v>2</v>
      </c>
      <c r="L111" s="115">
        <f>IFERROR(IF($B$4="ALL",IF(YEAR(L$83)&lt;=2025,AVERAGE(Targets!$B$9:$E$9),AVERAGE(Targets!$F$9:$I$9)),IF(YEAR(L$83)&lt;=2025,INDEX(Targets!$B$9:$E$9,MATCH($B$4,Targets!$B$3:$E$3,0)),INDEX(Targets!$F$9:$I$9,MATCH($B$4,Targets!$F$3:$I$3,0)))),NA())</f>
        <v>2</v>
      </c>
      <c r="M111" s="115">
        <f>IFERROR(IF($B$4="ALL",IF(YEAR(M$83)&lt;=2025,AVERAGE(Targets!$B$9:$E$9),AVERAGE(Targets!$F$9:$I$9)),IF(YEAR(M$83)&lt;=2025,INDEX(Targets!$B$9:$E$9,MATCH($B$4,Targets!$B$3:$E$3,0)),INDEX(Targets!$F$9:$I$9,MATCH($B$4,Targets!$F$3:$I$3,0)))),NA())</f>
        <v>2</v>
      </c>
      <c r="N111" s="115">
        <f>IFERROR(IF($B$4="ALL",IF(YEAR(N$83)&lt;=2025,AVERAGE(Targets!$B$9:$E$9),AVERAGE(Targets!$F$9:$I$9)),IF(YEAR(N$83)&lt;=2025,INDEX(Targets!$B$9:$E$9,MATCH($B$4,Targets!$B$3:$E$3,0)),INDEX(Targets!$F$9:$I$9,MATCH($B$4,Targets!$F$3:$I$3,0)))),NA())</f>
        <v>2</v>
      </c>
      <c r="O111" s="115">
        <f>IFERROR(IF($B$4="ALL",IF(YEAR(O$83)&lt;=2025,AVERAGE(Targets!$B$9:$E$9),AVERAGE(Targets!$F$9:$I$9)),IF(YEAR(O$83)&lt;=2025,INDEX(Targets!$B$9:$E$9,MATCH($B$4,Targets!$B$3:$E$3,0)),INDEX(Targets!$F$9:$I$9,MATCH($B$4,Targets!$F$3:$I$3,0)))),NA())</f>
        <v>2</v>
      </c>
      <c r="P111" s="115">
        <f>IFERROR(IF($B$4="ALL",IF(YEAR(P$83)&lt;=2025,AVERAGE(Targets!$B$9:$E$9),AVERAGE(Targets!$F$9:$I$9)),IF(YEAR(P$83)&lt;=2025,INDEX(Targets!$B$9:$E$9,MATCH($B$4,Targets!$B$3:$E$3,0)),INDEX(Targets!$F$9:$I$9,MATCH($B$4,Targets!$F$3:$I$3,0)))),NA())</f>
        <v>2</v>
      </c>
      <c r="Q111" s="115">
        <f>IFERROR(IF($B$4="ALL",IF(YEAR(Q$83)&lt;=2025,AVERAGE(Targets!$B$9:$E$9),AVERAGE(Targets!$F$9:$I$9)),IF(YEAR(Q$83)&lt;=2025,INDEX(Targets!$B$9:$E$9,MATCH($B$4,Targets!$B$3:$E$3,0)),INDEX(Targets!$F$9:$I$9,MATCH($B$4,Targets!$F$3:$I$3,0)))),NA())</f>
        <v>2</v>
      </c>
      <c r="R111" s="115">
        <f>IFERROR(IF($B$4="ALL",IF(YEAR(R$83)&lt;=2025,AVERAGE(Targets!$B$9:$E$9),AVERAGE(Targets!$F$9:$I$9)),IF(YEAR(R$83)&lt;=2025,INDEX(Targets!$B$9:$E$9,MATCH($B$4,Targets!$B$3:$E$3,0)),INDEX(Targets!$F$9:$I$9,MATCH($B$4,Targets!$F$3:$I$3,0)))),NA())</f>
        <v>2</v>
      </c>
      <c r="S111" s="115">
        <f>IFERROR(IF($B$4="ALL",IF(YEAR(S$83)&lt;=2025,AVERAGE(Targets!$B$9:$E$9),AVERAGE(Targets!$F$9:$I$9)),IF(YEAR(S$83)&lt;=2025,INDEX(Targets!$B$9:$E$9,MATCH($B$4,Targets!$B$3:$E$3,0)),INDEX(Targets!$F$9:$I$9,MATCH($B$4,Targets!$F$3:$I$3,0)))),NA())</f>
        <v>2</v>
      </c>
      <c r="T111" s="115">
        <f>IFERROR(IF($B$4="ALL",IF(YEAR(T$83)&lt;=2025,AVERAGE(Targets!$B$9:$E$9),AVERAGE(Targets!$F$9:$I$9)),IF(YEAR(T$83)&lt;=2025,INDEX(Targets!$B$9:$E$9,MATCH($B$4,Targets!$B$3:$E$3,0)),INDEX(Targets!$F$9:$I$9,MATCH($B$4,Targets!$F$3:$I$3,0)))),NA())</f>
        <v>2</v>
      </c>
      <c r="U111" s="115">
        <f>IFERROR(IF($B$4="ALL",IF(YEAR(U$83)&lt;=2025,AVERAGE(Targets!$B$9:$E$9),AVERAGE(Targets!$F$9:$I$9)),IF(YEAR(U$83)&lt;=2025,INDEX(Targets!$B$9:$E$9,MATCH($B$4,Targets!$B$3:$E$3,0)),INDEX(Targets!$F$9:$I$9,MATCH($B$4,Targets!$F$3:$I$3,0)))),NA())</f>
        <v>2</v>
      </c>
      <c r="V111" s="115">
        <f>IFERROR(IF($B$4="ALL",IF(YEAR(V$83)&lt;=2025,AVERAGE(Targets!$B$9:$E$9),AVERAGE(Targets!$F$9:$I$9)),IF(YEAR(V$83)&lt;=2025,INDEX(Targets!$B$9:$E$9,MATCH($B$4,Targets!$B$3:$E$3,0)),INDEX(Targets!$F$9:$I$9,MATCH($B$4,Targets!$F$3:$I$3,0)))),NA())</f>
        <v>2</v>
      </c>
      <c r="W111" s="115">
        <f>IFERROR(IF($B$4="ALL",IF(YEAR(W$83)&lt;=2025,AVERAGE(Targets!$B$9:$E$9),AVERAGE(Targets!$F$9:$I$9)),IF(YEAR(W$83)&lt;=2025,INDEX(Targets!$B$9:$E$9,MATCH($B$4,Targets!$B$3:$E$3,0)),INDEX(Targets!$F$9:$I$9,MATCH($B$4,Targets!$F$3:$I$3,0)))),NA())</f>
        <v>2</v>
      </c>
      <c r="X111" s="115">
        <f>IFERROR(IF($B$4="ALL",IF(YEAR(X$83)&lt;=2025,AVERAGE(Targets!$B$9:$E$9),AVERAGE(Targets!$F$9:$I$9)),IF(YEAR(X$83)&lt;=2025,INDEX(Targets!$B$9:$E$9,MATCH($B$4,Targets!$B$3:$E$3,0)),INDEX(Targets!$F$9:$I$9,MATCH($B$4,Targets!$F$3:$I$3,0)))),NA())</f>
        <v>2</v>
      </c>
      <c r="Y111" s="115">
        <f>IFERROR(IF($B$4="ALL",IF(YEAR(Y$83)&lt;=2025,AVERAGE(Targets!$B$9:$E$9),AVERAGE(Targets!$F$9:$I$9)),IF(YEAR(Y$83)&lt;=2025,INDEX(Targets!$B$9:$E$9,MATCH($B$4,Targets!$B$3:$E$3,0)),INDEX(Targets!$F$9:$I$9,MATCH($B$4,Targets!$F$3:$I$3,0)))),NA())</f>
        <v>2</v>
      </c>
      <c r="Z111" s="115">
        <f>IFERROR(IF($B$4="ALL",IF(YEAR(Z$83)&lt;=2025,AVERAGE(Targets!$B$9:$E$9),AVERAGE(Targets!$F$9:$I$9)),IF(YEAR(Z$83)&lt;=2025,INDEX(Targets!$B$9:$E$9,MATCH($B$4,Targets!$B$3:$E$3,0)),INDEX(Targets!$F$9:$I$9,MATCH($B$4,Targets!$F$3:$I$3,0)))),NA())</f>
        <v>2</v>
      </c>
      <c r="AA111" s="115">
        <f>IFERROR(IF($B$4="ALL",IF(YEAR(AA$83)&lt;=2025,AVERAGE(Targets!$B$9:$E$9),AVERAGE(Targets!$F$9:$I$9)),IF(YEAR(AA$83)&lt;=2025,INDEX(Targets!$B$9:$E$9,MATCH($B$4,Targets!$B$3:$E$3,0)),INDEX(Targets!$F$9:$I$9,MATCH($B$4,Targets!$F$3:$I$3,0)))),NA())</f>
        <v>2</v>
      </c>
      <c r="AB111" s="115">
        <f>IFERROR(IF($B$4="ALL",IF(YEAR(AB$83)&lt;=2025,AVERAGE(Targets!$B$9:$E$9),AVERAGE(Targets!$F$9:$I$9)),IF(YEAR(AB$83)&lt;=2025,INDEX(Targets!$B$9:$E$9,MATCH($B$4,Targets!$B$3:$E$3,0)),INDEX(Targets!$F$9:$I$9,MATCH($B$4,Targets!$F$3:$I$3,0)))),NA())</f>
        <v>2</v>
      </c>
      <c r="AC111" s="115">
        <f>IFERROR(IF($B$4="ALL",IF(YEAR(AC$83)&lt;=2025,AVERAGE(Targets!$B$9:$E$9),AVERAGE(Targets!$F$9:$I$9)),IF(YEAR(AC$83)&lt;=2025,INDEX(Targets!$B$9:$E$9,MATCH($B$4,Targets!$B$3:$E$3,0)),INDEX(Targets!$F$9:$I$9,MATCH($B$4,Targets!$F$3:$I$3,0)))),NA())</f>
        <v>2</v>
      </c>
      <c r="AD111" s="115">
        <f>IFERROR(IF($B$4="ALL",IF(YEAR(AD$83)&lt;=2025,AVERAGE(Targets!$B$9:$E$9),AVERAGE(Targets!$F$9:$I$9)),IF(YEAR(AD$83)&lt;=2025,INDEX(Targets!$B$9:$E$9,MATCH($B$4,Targets!$B$3:$E$3,0)),INDEX(Targets!$F$9:$I$9,MATCH($B$4,Targets!$F$3:$I$3,0)))),NA())</f>
        <v>2</v>
      </c>
      <c r="AE111" s="115">
        <f>IFERROR(IF($B$4="ALL",IF(YEAR(AE$83)&lt;=2025,AVERAGE(Targets!$B$9:$E$9),AVERAGE(Targets!$F$9:$I$9)),IF(YEAR(AE$83)&lt;=2025,INDEX(Targets!$B$9:$E$9,MATCH($B$4,Targets!$B$3:$E$3,0)),INDEX(Targets!$F$9:$I$9,MATCH($B$4,Targets!$F$3:$I$3,0)))),NA())</f>
        <v>2</v>
      </c>
      <c r="AF111" s="115">
        <f>IFERROR(IF($B$4="ALL",IF(YEAR(AF$83)&lt;=2025,AVERAGE(Targets!$B$9:$E$9),AVERAGE(Targets!$F$9:$I$9)),IF(YEAR(AF$83)&lt;=2025,INDEX(Targets!$B$9:$E$9,MATCH($B$4,Targets!$B$3:$E$3,0)),INDEX(Targets!$F$9:$I$9,MATCH($B$4,Targets!$F$3:$I$3,0)))),NA())</f>
        <v>2</v>
      </c>
      <c r="AG111" s="115">
        <f>IFERROR(IF($B$4="ALL",IF(YEAR(AG$83)&lt;=2025,AVERAGE(Targets!$B$9:$E$9),AVERAGE(Targets!$F$9:$I$9)),IF(YEAR(AG$83)&lt;=2025,INDEX(Targets!$B$9:$E$9,MATCH($B$4,Targets!$B$3:$E$3,0)),INDEX(Targets!$F$9:$I$9,MATCH($B$4,Targets!$F$3:$I$3,0)))),NA())</f>
        <v>2</v>
      </c>
      <c r="AH111" s="115">
        <f>IFERROR(IF($B$4="ALL",IF(YEAR(AH$83)&lt;=2025,AVERAGE(Targets!$B$9:$E$9),AVERAGE(Targets!$F$9:$I$9)),IF(YEAR(AH$83)&lt;=2025,INDEX(Targets!$B$9:$E$9,MATCH($B$4,Targets!$B$3:$E$3,0)),INDEX(Targets!$F$9:$I$9,MATCH($B$4,Targets!$F$3:$I$3,0)))),NA())</f>
        <v>2</v>
      </c>
      <c r="AI111" s="115">
        <f>IFERROR(IF($B$4="ALL",IF(YEAR(AI$83)&lt;=2025,AVERAGE(Targets!$B$9:$E$9),AVERAGE(Targets!$F$9:$I$9)),IF(YEAR(AI$83)&lt;=2025,INDEX(Targets!$B$9:$E$9,MATCH($B$4,Targets!$B$3:$E$3,0)),INDEX(Targets!$F$9:$I$9,MATCH($B$4,Targets!$F$3:$I$3,0)))),NA())</f>
        <v>2</v>
      </c>
      <c r="AJ111" s="115">
        <f>IFERROR(IF($B$4="ALL",IF(YEAR(AJ$83)&lt;=2025,AVERAGE(Targets!$B$9:$E$9),AVERAGE(Targets!$F$9:$I$9)),IF(YEAR(AJ$83)&lt;=2025,INDEX(Targets!$B$9:$E$9,MATCH($B$4,Targets!$B$3:$E$3,0)),INDEX(Targets!$F$9:$I$9,MATCH($B$4,Targets!$F$3:$I$3,0)))),NA())</f>
        <v>2</v>
      </c>
      <c r="AK111" s="115">
        <f>IFERROR(IF($B$4="ALL",IF(YEAR(AK$83)&lt;=2025,AVERAGE(Targets!$B$9:$E$9),AVERAGE(Targets!$F$9:$I$9)),IF(YEAR(AK$83)&lt;=2025,INDEX(Targets!$B$9:$E$9,MATCH($B$4,Targets!$B$3:$E$3,0)),INDEX(Targets!$F$9:$I$9,MATCH($B$4,Targets!$F$3:$I$3,0)))),NA())</f>
        <v>2</v>
      </c>
      <c r="AL111" s="115">
        <f>IFERROR(IF($B$4="ALL",IF(YEAR(AL$83)&lt;=2025,AVERAGE(Targets!$B$9:$E$9),AVERAGE(Targets!$F$9:$I$9)),IF(YEAR(AL$83)&lt;=2025,INDEX(Targets!$B$9:$E$9,MATCH($B$4,Targets!$B$3:$E$3,0)),INDEX(Targets!$F$9:$I$9,MATCH($B$4,Targets!$F$3:$I$3,0)))),NA())</f>
        <v>2</v>
      </c>
      <c r="AM111" s="115">
        <f>IFERROR(IF($B$4="ALL",IF(YEAR(AM$83)&lt;=2025,AVERAGE(Targets!$B$9:$E$9),AVERAGE(Targets!$F$9:$I$9)),IF(YEAR(AM$83)&lt;=2025,INDEX(Targets!$B$9:$E$9,MATCH($B$4,Targets!$B$3:$E$3,0)),INDEX(Targets!$F$9:$I$9,MATCH($B$4,Targets!$F$3:$I$3,0)))),NA())</f>
        <v>2</v>
      </c>
      <c r="AN111" s="115">
        <f>IFERROR(IF($B$4="ALL",IF(YEAR(AN$83)&lt;=2025,AVERAGE(Targets!$B$9:$E$9),AVERAGE(Targets!$F$9:$I$9)),IF(YEAR(AN$83)&lt;=2025,INDEX(Targets!$B$9:$E$9,MATCH($B$4,Targets!$B$3:$E$3,0)),INDEX(Targets!$F$9:$I$9,MATCH($B$4,Targets!$F$3:$I$3,0)))),NA())</f>
        <v>2</v>
      </c>
      <c r="AO111" s="115">
        <f>IFERROR(IF($B$4="ALL",IF(YEAR(AO$83)&lt;=2025,AVERAGE(Targets!$B$9:$E$9),AVERAGE(Targets!$F$9:$I$9)),IF(YEAR(AO$83)&lt;=2025,INDEX(Targets!$B$9:$E$9,MATCH($B$4,Targets!$B$3:$E$3,0)),INDEX(Targets!$F$9:$I$9,MATCH($B$4,Targets!$F$3:$I$3,0)))),NA())</f>
        <v>2</v>
      </c>
      <c r="AP111" s="115">
        <f>IFERROR(IF($B$4="ALL",IF(YEAR(AP$83)&lt;=2025,AVERAGE(Targets!$B$9:$E$9),AVERAGE(Targets!$F$9:$I$9)),IF(YEAR(AP$83)&lt;=2025,INDEX(Targets!$B$9:$E$9,MATCH($B$4,Targets!$B$3:$E$3,0)),INDEX(Targets!$F$9:$I$9,MATCH($B$4,Targets!$F$3:$I$3,0)))),NA())</f>
        <v>2</v>
      </c>
      <c r="AQ111" s="115">
        <f>IFERROR(IF($B$4="ALL",IF(YEAR(AQ$83)&lt;=2025,AVERAGE(Targets!$B$9:$E$9),AVERAGE(Targets!$F$9:$I$9)),IF(YEAR(AQ$83)&lt;=2025,INDEX(Targets!$B$9:$E$9,MATCH($B$4,Targets!$B$3:$E$3,0)),INDEX(Targets!$F$9:$I$9,MATCH($B$4,Targets!$F$3:$I$3,0)))),NA())</f>
        <v>2</v>
      </c>
      <c r="AR111" s="115">
        <f>IFERROR(IF($B$4="ALL",IF(YEAR(AR$83)&lt;=2025,AVERAGE(Targets!$B$9:$E$9),AVERAGE(Targets!$F$9:$I$9)),IF(YEAR(AR$83)&lt;=2025,INDEX(Targets!$B$9:$E$9,MATCH($B$4,Targets!$B$3:$E$3,0)),INDEX(Targets!$F$9:$I$9,MATCH($B$4,Targets!$F$3:$I$3,0)))),NA())</f>
        <v>2</v>
      </c>
      <c r="AS111" s="115">
        <f>IFERROR(IF($B$4="ALL",IF(YEAR(AS$83)&lt;=2025,AVERAGE(Targets!$B$9:$E$9),AVERAGE(Targets!$F$9:$I$9)),IF(YEAR(AS$83)&lt;=2025,INDEX(Targets!$B$9:$E$9,MATCH($B$4,Targets!$B$3:$E$3,0)),INDEX(Targets!$F$9:$I$9,MATCH($B$4,Targets!$F$3:$I$3,0)))),NA())</f>
        <v>2</v>
      </c>
      <c r="AT111" s="115">
        <f>IFERROR(IF($B$4="ALL",IF(YEAR(AT$83)&lt;=2025,AVERAGE(Targets!$B$9:$E$9),AVERAGE(Targets!$F$9:$I$9)),IF(YEAR(AT$83)&lt;=2025,INDEX(Targets!$B$9:$E$9,MATCH($B$4,Targets!$B$3:$E$3,0)),INDEX(Targets!$F$9:$I$9,MATCH($B$4,Targets!$F$3:$I$3,0)))),NA())</f>
        <v>2</v>
      </c>
      <c r="AU111" s="115">
        <f>IFERROR(IF($B$4="ALL",IF(YEAR(AU$83)&lt;=2025,AVERAGE(Targets!$B$9:$E$9),AVERAGE(Targets!$F$9:$I$9)),IF(YEAR(AU$83)&lt;=2025,INDEX(Targets!$B$9:$E$9,MATCH($B$4,Targets!$B$3:$E$3,0)),INDEX(Targets!$F$9:$I$9,MATCH($B$4,Targets!$F$3:$I$3,0)))),NA())</f>
        <v>2</v>
      </c>
      <c r="AV111" s="115">
        <f>IFERROR(IF($B$4="ALL",IF(YEAR(AV$83)&lt;=2025,AVERAGE(Targets!$B$9:$E$9),AVERAGE(Targets!$F$9:$I$9)),IF(YEAR(AV$83)&lt;=2025,INDEX(Targets!$B$9:$E$9,MATCH($B$4,Targets!$B$3:$E$3,0)),INDEX(Targets!$F$9:$I$9,MATCH($B$4,Targets!$F$3:$I$3,0)))),NA())</f>
        <v>2</v>
      </c>
      <c r="AW111" s="115">
        <f>IFERROR(IF($B$4="ALL",IF(YEAR(AW$83)&lt;=2025,AVERAGE(Targets!$B$9:$E$9),AVERAGE(Targets!$F$9:$I$9)),IF(YEAR(AW$83)&lt;=2025,INDEX(Targets!$B$9:$E$9,MATCH($B$4,Targets!$B$3:$E$3,0)),INDEX(Targets!$F$9:$I$9,MATCH($B$4,Targets!$F$3:$I$3,0)))),NA())</f>
        <v>2</v>
      </c>
    </row>
    <row r="114" spans="1:49" x14ac:dyDescent="0.25">
      <c r="A114" s="116" t="s">
        <v>71</v>
      </c>
    </row>
    <row r="115" spans="1:49" x14ac:dyDescent="0.25">
      <c r="A115" t="s">
        <v>65</v>
      </c>
      <c r="B115" s="100" t="e">
        <f>IF(ISNA(B94),NA(),B106)</f>
        <v>#N/A</v>
      </c>
      <c r="C115" s="100" t="e">
        <f t="shared" ref="C115:AW115" si="11">IF(ISNA(C94),NA(),C106)</f>
        <v>#N/A</v>
      </c>
      <c r="D115" s="100" t="e">
        <f t="shared" si="11"/>
        <v>#N/A</v>
      </c>
      <c r="E115" s="100" t="e">
        <f t="shared" si="11"/>
        <v>#N/A</v>
      </c>
      <c r="F115" s="100" t="e">
        <f t="shared" si="11"/>
        <v>#N/A</v>
      </c>
      <c r="G115" s="100" t="e">
        <f t="shared" si="11"/>
        <v>#N/A</v>
      </c>
      <c r="H115" s="100" t="e">
        <f t="shared" si="11"/>
        <v>#N/A</v>
      </c>
      <c r="I115" s="100" t="e">
        <f t="shared" si="11"/>
        <v>#N/A</v>
      </c>
      <c r="J115" s="100" t="e">
        <f t="shared" si="11"/>
        <v>#N/A</v>
      </c>
      <c r="K115" s="100" t="e">
        <f t="shared" si="11"/>
        <v>#N/A</v>
      </c>
      <c r="L115" s="100" t="e">
        <f t="shared" si="11"/>
        <v>#N/A</v>
      </c>
      <c r="M115" s="100" t="e">
        <f t="shared" si="11"/>
        <v>#N/A</v>
      </c>
      <c r="N115" s="100" t="e">
        <f t="shared" si="11"/>
        <v>#N/A</v>
      </c>
      <c r="O115" s="100" t="e">
        <f t="shared" si="11"/>
        <v>#N/A</v>
      </c>
      <c r="P115" s="100" t="e">
        <f t="shared" si="11"/>
        <v>#N/A</v>
      </c>
      <c r="Q115" s="100" t="e">
        <f t="shared" si="11"/>
        <v>#N/A</v>
      </c>
      <c r="R115" s="100" t="e">
        <f t="shared" si="11"/>
        <v>#N/A</v>
      </c>
      <c r="S115" s="100" t="e">
        <f t="shared" si="11"/>
        <v>#N/A</v>
      </c>
      <c r="T115" s="100" t="e">
        <f t="shared" si="11"/>
        <v>#N/A</v>
      </c>
      <c r="U115" s="100" t="e">
        <f t="shared" si="11"/>
        <v>#N/A</v>
      </c>
      <c r="V115" s="100" t="e">
        <f t="shared" si="11"/>
        <v>#N/A</v>
      </c>
      <c r="W115" s="100" t="e">
        <f t="shared" si="11"/>
        <v>#N/A</v>
      </c>
      <c r="X115" s="100" t="e">
        <f t="shared" si="11"/>
        <v>#N/A</v>
      </c>
      <c r="Y115" s="100" t="e">
        <f t="shared" si="11"/>
        <v>#N/A</v>
      </c>
      <c r="Z115" s="100">
        <f t="shared" si="11"/>
        <v>435051.08999999997</v>
      </c>
      <c r="AA115" s="100">
        <f t="shared" si="11"/>
        <v>435051.08999999997</v>
      </c>
      <c r="AB115" s="100">
        <f t="shared" si="11"/>
        <v>435051.08999999997</v>
      </c>
      <c r="AC115" s="100" t="e">
        <f t="shared" si="11"/>
        <v>#N/A</v>
      </c>
      <c r="AD115" s="100" t="e">
        <f t="shared" si="11"/>
        <v>#N/A</v>
      </c>
      <c r="AE115" s="100" t="e">
        <f t="shared" si="11"/>
        <v>#N/A</v>
      </c>
      <c r="AF115" s="100" t="e">
        <f t="shared" si="11"/>
        <v>#N/A</v>
      </c>
      <c r="AG115" s="100" t="e">
        <f t="shared" si="11"/>
        <v>#N/A</v>
      </c>
      <c r="AH115" s="100" t="e">
        <f t="shared" si="11"/>
        <v>#N/A</v>
      </c>
      <c r="AI115" s="100" t="e">
        <f t="shared" si="11"/>
        <v>#N/A</v>
      </c>
      <c r="AJ115" s="100" t="e">
        <f t="shared" si="11"/>
        <v>#N/A</v>
      </c>
      <c r="AK115" s="100" t="e">
        <f t="shared" si="11"/>
        <v>#N/A</v>
      </c>
      <c r="AL115" s="100" t="e">
        <f t="shared" si="11"/>
        <v>#N/A</v>
      </c>
      <c r="AM115" s="100" t="e">
        <f t="shared" si="11"/>
        <v>#N/A</v>
      </c>
      <c r="AN115" s="100" t="e">
        <f t="shared" si="11"/>
        <v>#N/A</v>
      </c>
      <c r="AO115" s="100" t="e">
        <f t="shared" si="11"/>
        <v>#N/A</v>
      </c>
      <c r="AP115" s="100" t="e">
        <f t="shared" si="11"/>
        <v>#N/A</v>
      </c>
      <c r="AQ115" s="100" t="e">
        <f t="shared" si="11"/>
        <v>#N/A</v>
      </c>
      <c r="AR115" s="100" t="e">
        <f t="shared" si="11"/>
        <v>#N/A</v>
      </c>
      <c r="AS115" s="100" t="e">
        <f t="shared" si="11"/>
        <v>#N/A</v>
      </c>
      <c r="AT115" s="100" t="e">
        <f t="shared" si="11"/>
        <v>#N/A</v>
      </c>
      <c r="AU115" s="100" t="e">
        <f t="shared" si="11"/>
        <v>#N/A</v>
      </c>
      <c r="AV115" s="100" t="e">
        <f t="shared" si="11"/>
        <v>#N/A</v>
      </c>
      <c r="AW115" s="100" t="e">
        <f t="shared" si="11"/>
        <v>#N/A</v>
      </c>
    </row>
    <row r="116" spans="1:49" x14ac:dyDescent="0.25">
      <c r="A116" t="s">
        <v>66</v>
      </c>
      <c r="B116" s="100" t="e">
        <f>IF(ISNA(B95),NA(),B107)</f>
        <v>#N/A</v>
      </c>
      <c r="C116" s="100" t="e">
        <f t="shared" ref="C116:AW116" si="12">IF(ISNA(C95),NA(),C107)</f>
        <v>#N/A</v>
      </c>
      <c r="D116" s="100" t="e">
        <f t="shared" si="12"/>
        <v>#N/A</v>
      </c>
      <c r="E116" s="100" t="e">
        <f t="shared" si="12"/>
        <v>#N/A</v>
      </c>
      <c r="F116" s="100" t="e">
        <f t="shared" si="12"/>
        <v>#N/A</v>
      </c>
      <c r="G116" s="100" t="e">
        <f t="shared" si="12"/>
        <v>#N/A</v>
      </c>
      <c r="H116" s="100" t="e">
        <f t="shared" si="12"/>
        <v>#N/A</v>
      </c>
      <c r="I116" s="100" t="e">
        <f t="shared" si="12"/>
        <v>#N/A</v>
      </c>
      <c r="J116" s="100" t="e">
        <f t="shared" si="12"/>
        <v>#N/A</v>
      </c>
      <c r="K116" s="100" t="e">
        <f t="shared" si="12"/>
        <v>#N/A</v>
      </c>
      <c r="L116" s="100" t="e">
        <f t="shared" si="12"/>
        <v>#N/A</v>
      </c>
      <c r="M116" s="100" t="e">
        <f t="shared" si="12"/>
        <v>#N/A</v>
      </c>
      <c r="N116" s="100" t="e">
        <f t="shared" si="12"/>
        <v>#N/A</v>
      </c>
      <c r="O116" s="100" t="e">
        <f t="shared" si="12"/>
        <v>#N/A</v>
      </c>
      <c r="P116" s="100" t="e">
        <f t="shared" si="12"/>
        <v>#N/A</v>
      </c>
      <c r="Q116" s="100" t="e">
        <f t="shared" si="12"/>
        <v>#N/A</v>
      </c>
      <c r="R116" s="100" t="e">
        <f t="shared" si="12"/>
        <v>#N/A</v>
      </c>
      <c r="S116" s="100" t="e">
        <f t="shared" si="12"/>
        <v>#N/A</v>
      </c>
      <c r="T116" s="100" t="e">
        <f t="shared" si="12"/>
        <v>#N/A</v>
      </c>
      <c r="U116" s="100" t="e">
        <f t="shared" si="12"/>
        <v>#N/A</v>
      </c>
      <c r="V116" s="100" t="e">
        <f t="shared" si="12"/>
        <v>#N/A</v>
      </c>
      <c r="W116" s="100" t="e">
        <f t="shared" si="12"/>
        <v>#N/A</v>
      </c>
      <c r="X116" s="100" t="e">
        <f t="shared" si="12"/>
        <v>#N/A</v>
      </c>
      <c r="Y116" s="100" t="e">
        <f t="shared" si="12"/>
        <v>#N/A</v>
      </c>
      <c r="Z116" s="100">
        <f t="shared" si="12"/>
        <v>6187377.6699999999</v>
      </c>
      <c r="AA116" s="100">
        <f t="shared" si="12"/>
        <v>6187377.6699999999</v>
      </c>
      <c r="AB116" s="100">
        <f t="shared" si="12"/>
        <v>6187377.6699999999</v>
      </c>
      <c r="AC116" s="100" t="e">
        <f t="shared" si="12"/>
        <v>#N/A</v>
      </c>
      <c r="AD116" s="100" t="e">
        <f t="shared" si="12"/>
        <v>#N/A</v>
      </c>
      <c r="AE116" s="100" t="e">
        <f t="shared" si="12"/>
        <v>#N/A</v>
      </c>
      <c r="AF116" s="100" t="e">
        <f t="shared" si="12"/>
        <v>#N/A</v>
      </c>
      <c r="AG116" s="100" t="e">
        <f t="shared" si="12"/>
        <v>#N/A</v>
      </c>
      <c r="AH116" s="100" t="e">
        <f t="shared" si="12"/>
        <v>#N/A</v>
      </c>
      <c r="AI116" s="100" t="e">
        <f t="shared" si="12"/>
        <v>#N/A</v>
      </c>
      <c r="AJ116" s="100" t="e">
        <f t="shared" si="12"/>
        <v>#N/A</v>
      </c>
      <c r="AK116" s="100" t="e">
        <f t="shared" si="12"/>
        <v>#N/A</v>
      </c>
      <c r="AL116" s="100" t="e">
        <f t="shared" si="12"/>
        <v>#N/A</v>
      </c>
      <c r="AM116" s="100" t="e">
        <f t="shared" si="12"/>
        <v>#N/A</v>
      </c>
      <c r="AN116" s="100" t="e">
        <f t="shared" si="12"/>
        <v>#N/A</v>
      </c>
      <c r="AO116" s="100" t="e">
        <f t="shared" si="12"/>
        <v>#N/A</v>
      </c>
      <c r="AP116" s="100" t="e">
        <f t="shared" si="12"/>
        <v>#N/A</v>
      </c>
      <c r="AQ116" s="100" t="e">
        <f t="shared" si="12"/>
        <v>#N/A</v>
      </c>
      <c r="AR116" s="100" t="e">
        <f t="shared" si="12"/>
        <v>#N/A</v>
      </c>
      <c r="AS116" s="100" t="e">
        <f t="shared" si="12"/>
        <v>#N/A</v>
      </c>
      <c r="AT116" s="100" t="e">
        <f t="shared" si="12"/>
        <v>#N/A</v>
      </c>
      <c r="AU116" s="100" t="e">
        <f t="shared" si="12"/>
        <v>#N/A</v>
      </c>
      <c r="AV116" s="100" t="e">
        <f t="shared" si="12"/>
        <v>#N/A</v>
      </c>
      <c r="AW116" s="100" t="e">
        <f t="shared" si="12"/>
        <v>#N/A</v>
      </c>
    </row>
    <row r="117" spans="1:49" x14ac:dyDescent="0.25">
      <c r="A117" t="s">
        <v>67</v>
      </c>
      <c r="B117" s="100" t="e">
        <f>IF(ISNA(B96),NA(),B108)</f>
        <v>#N/A</v>
      </c>
      <c r="C117" s="100" t="e">
        <f t="shared" ref="C117:AW117" si="13">IF(ISNA(C96),NA(),C108)</f>
        <v>#N/A</v>
      </c>
      <c r="D117" s="100" t="e">
        <f t="shared" si="13"/>
        <v>#N/A</v>
      </c>
      <c r="E117" s="100" t="e">
        <f t="shared" si="13"/>
        <v>#N/A</v>
      </c>
      <c r="F117" s="100" t="e">
        <f t="shared" si="13"/>
        <v>#N/A</v>
      </c>
      <c r="G117" s="100" t="e">
        <f t="shared" si="13"/>
        <v>#N/A</v>
      </c>
      <c r="H117" s="100" t="e">
        <f t="shared" si="13"/>
        <v>#N/A</v>
      </c>
      <c r="I117" s="100" t="e">
        <f t="shared" si="13"/>
        <v>#N/A</v>
      </c>
      <c r="J117" s="100" t="e">
        <f t="shared" si="13"/>
        <v>#N/A</v>
      </c>
      <c r="K117" s="100" t="e">
        <f t="shared" si="13"/>
        <v>#N/A</v>
      </c>
      <c r="L117" s="100" t="e">
        <f t="shared" si="13"/>
        <v>#N/A</v>
      </c>
      <c r="M117" s="100" t="e">
        <f t="shared" si="13"/>
        <v>#N/A</v>
      </c>
      <c r="N117" s="100" t="e">
        <f t="shared" si="13"/>
        <v>#N/A</v>
      </c>
      <c r="O117" s="100" t="e">
        <f t="shared" si="13"/>
        <v>#N/A</v>
      </c>
      <c r="P117" s="100" t="e">
        <f t="shared" si="13"/>
        <v>#N/A</v>
      </c>
      <c r="Q117" s="100" t="e">
        <f t="shared" si="13"/>
        <v>#N/A</v>
      </c>
      <c r="R117" s="100" t="e">
        <f t="shared" si="13"/>
        <v>#N/A</v>
      </c>
      <c r="S117" s="100" t="e">
        <f t="shared" si="13"/>
        <v>#N/A</v>
      </c>
      <c r="T117" s="100" t="e">
        <f t="shared" si="13"/>
        <v>#N/A</v>
      </c>
      <c r="U117" s="100" t="e">
        <f t="shared" si="13"/>
        <v>#N/A</v>
      </c>
      <c r="V117" s="100" t="e">
        <f t="shared" si="13"/>
        <v>#N/A</v>
      </c>
      <c r="W117" s="100" t="e">
        <f t="shared" si="13"/>
        <v>#N/A</v>
      </c>
      <c r="X117" s="100" t="e">
        <f t="shared" si="13"/>
        <v>#N/A</v>
      </c>
      <c r="Y117" s="100" t="e">
        <f t="shared" si="13"/>
        <v>#N/A</v>
      </c>
      <c r="Z117" s="100">
        <f t="shared" si="13"/>
        <v>6187377.6699999999</v>
      </c>
      <c r="AA117" s="100">
        <f t="shared" si="13"/>
        <v>6187377.6699999999</v>
      </c>
      <c r="AB117" s="100">
        <f t="shared" si="13"/>
        <v>6187377.6699999999</v>
      </c>
      <c r="AC117" s="100" t="e">
        <f t="shared" si="13"/>
        <v>#N/A</v>
      </c>
      <c r="AD117" s="100" t="e">
        <f t="shared" si="13"/>
        <v>#N/A</v>
      </c>
      <c r="AE117" s="100" t="e">
        <f t="shared" si="13"/>
        <v>#N/A</v>
      </c>
      <c r="AF117" s="100" t="e">
        <f t="shared" si="13"/>
        <v>#N/A</v>
      </c>
      <c r="AG117" s="100" t="e">
        <f t="shared" si="13"/>
        <v>#N/A</v>
      </c>
      <c r="AH117" s="100" t="e">
        <f t="shared" si="13"/>
        <v>#N/A</v>
      </c>
      <c r="AI117" s="100" t="e">
        <f t="shared" si="13"/>
        <v>#N/A</v>
      </c>
      <c r="AJ117" s="100" t="e">
        <f t="shared" si="13"/>
        <v>#N/A</v>
      </c>
      <c r="AK117" s="100" t="e">
        <f t="shared" si="13"/>
        <v>#N/A</v>
      </c>
      <c r="AL117" s="100" t="e">
        <f t="shared" si="13"/>
        <v>#N/A</v>
      </c>
      <c r="AM117" s="100" t="e">
        <f t="shared" si="13"/>
        <v>#N/A</v>
      </c>
      <c r="AN117" s="100" t="e">
        <f t="shared" si="13"/>
        <v>#N/A</v>
      </c>
      <c r="AO117" s="100" t="e">
        <f t="shared" si="13"/>
        <v>#N/A</v>
      </c>
      <c r="AP117" s="100" t="e">
        <f t="shared" si="13"/>
        <v>#N/A</v>
      </c>
      <c r="AQ117" s="100" t="e">
        <f t="shared" si="13"/>
        <v>#N/A</v>
      </c>
      <c r="AR117" s="100" t="e">
        <f t="shared" si="13"/>
        <v>#N/A</v>
      </c>
      <c r="AS117" s="100" t="e">
        <f t="shared" si="13"/>
        <v>#N/A</v>
      </c>
      <c r="AT117" s="100" t="e">
        <f t="shared" si="13"/>
        <v>#N/A</v>
      </c>
      <c r="AU117" s="100" t="e">
        <f t="shared" si="13"/>
        <v>#N/A</v>
      </c>
      <c r="AV117" s="100" t="e">
        <f t="shared" si="13"/>
        <v>#N/A</v>
      </c>
      <c r="AW117" s="100" t="e">
        <f t="shared" si="13"/>
        <v>#N/A</v>
      </c>
    </row>
    <row r="118" spans="1:49" x14ac:dyDescent="0.25">
      <c r="A118" t="s">
        <v>68</v>
      </c>
      <c r="B118" s="117" t="e">
        <f>IF(ISNA(B97),NA(),B109)</f>
        <v>#N/A</v>
      </c>
      <c r="C118" s="117" t="e">
        <f t="shared" ref="C118:AW118" si="14">IF(ISNA(C97),NA(),C109)</f>
        <v>#N/A</v>
      </c>
      <c r="D118" s="117" t="e">
        <f t="shared" si="14"/>
        <v>#N/A</v>
      </c>
      <c r="E118" s="117" t="e">
        <f t="shared" si="14"/>
        <v>#N/A</v>
      </c>
      <c r="F118" s="117" t="e">
        <f t="shared" si="14"/>
        <v>#N/A</v>
      </c>
      <c r="G118" s="117" t="e">
        <f t="shared" si="14"/>
        <v>#N/A</v>
      </c>
      <c r="H118" s="117" t="e">
        <f t="shared" si="14"/>
        <v>#N/A</v>
      </c>
      <c r="I118" s="117" t="e">
        <f t="shared" si="14"/>
        <v>#N/A</v>
      </c>
      <c r="J118" s="117" t="e">
        <f t="shared" si="14"/>
        <v>#N/A</v>
      </c>
      <c r="K118" s="117" t="e">
        <f t="shared" si="14"/>
        <v>#N/A</v>
      </c>
      <c r="L118" s="117" t="e">
        <f t="shared" si="14"/>
        <v>#N/A</v>
      </c>
      <c r="M118" s="117" t="e">
        <f t="shared" si="14"/>
        <v>#N/A</v>
      </c>
      <c r="N118" s="117" t="e">
        <f t="shared" si="14"/>
        <v>#N/A</v>
      </c>
      <c r="O118" s="117" t="e">
        <f t="shared" si="14"/>
        <v>#N/A</v>
      </c>
      <c r="P118" s="117" t="e">
        <f t="shared" si="14"/>
        <v>#N/A</v>
      </c>
      <c r="Q118" s="117" t="e">
        <f t="shared" si="14"/>
        <v>#N/A</v>
      </c>
      <c r="R118" s="117" t="e">
        <f t="shared" si="14"/>
        <v>#N/A</v>
      </c>
      <c r="S118" s="117" t="e">
        <f t="shared" si="14"/>
        <v>#N/A</v>
      </c>
      <c r="T118" s="117" t="e">
        <f t="shared" si="14"/>
        <v>#N/A</v>
      </c>
      <c r="U118" s="117" t="e">
        <f t="shared" si="14"/>
        <v>#N/A</v>
      </c>
      <c r="V118" s="117" t="e">
        <f t="shared" si="14"/>
        <v>#N/A</v>
      </c>
      <c r="W118" s="117" t="e">
        <f t="shared" si="14"/>
        <v>#N/A</v>
      </c>
      <c r="X118" s="117" t="e">
        <f t="shared" si="14"/>
        <v>#N/A</v>
      </c>
      <c r="Y118" s="117" t="e">
        <f t="shared" si="14"/>
        <v>#N/A</v>
      </c>
      <c r="Z118" s="117">
        <f t="shared" si="14"/>
        <v>1</v>
      </c>
      <c r="AA118" s="117">
        <f t="shared" si="14"/>
        <v>1</v>
      </c>
      <c r="AB118" s="117">
        <f t="shared" si="14"/>
        <v>1</v>
      </c>
      <c r="AC118" s="117" t="e">
        <f t="shared" si="14"/>
        <v>#N/A</v>
      </c>
      <c r="AD118" s="117" t="e">
        <f t="shared" si="14"/>
        <v>#N/A</v>
      </c>
      <c r="AE118" s="117" t="e">
        <f t="shared" si="14"/>
        <v>#N/A</v>
      </c>
      <c r="AF118" s="117" t="e">
        <f t="shared" si="14"/>
        <v>#N/A</v>
      </c>
      <c r="AG118" s="117" t="e">
        <f t="shared" si="14"/>
        <v>#N/A</v>
      </c>
      <c r="AH118" s="117" t="e">
        <f t="shared" si="14"/>
        <v>#N/A</v>
      </c>
      <c r="AI118" s="117" t="e">
        <f t="shared" si="14"/>
        <v>#N/A</v>
      </c>
      <c r="AJ118" s="117" t="e">
        <f t="shared" si="14"/>
        <v>#N/A</v>
      </c>
      <c r="AK118" s="117" t="e">
        <f t="shared" si="14"/>
        <v>#N/A</v>
      </c>
      <c r="AL118" s="117" t="e">
        <f t="shared" si="14"/>
        <v>#N/A</v>
      </c>
      <c r="AM118" s="117" t="e">
        <f t="shared" si="14"/>
        <v>#N/A</v>
      </c>
      <c r="AN118" s="117" t="e">
        <f t="shared" si="14"/>
        <v>#N/A</v>
      </c>
      <c r="AO118" s="117" t="e">
        <f t="shared" si="14"/>
        <v>#N/A</v>
      </c>
      <c r="AP118" s="117" t="e">
        <f t="shared" si="14"/>
        <v>#N/A</v>
      </c>
      <c r="AQ118" s="117" t="e">
        <f t="shared" si="14"/>
        <v>#N/A</v>
      </c>
      <c r="AR118" s="117" t="e">
        <f t="shared" si="14"/>
        <v>#N/A</v>
      </c>
      <c r="AS118" s="117" t="e">
        <f t="shared" si="14"/>
        <v>#N/A</v>
      </c>
      <c r="AT118" s="117" t="e">
        <f t="shared" si="14"/>
        <v>#N/A</v>
      </c>
      <c r="AU118" s="117" t="e">
        <f t="shared" si="14"/>
        <v>#N/A</v>
      </c>
      <c r="AV118" s="117" t="e">
        <f t="shared" si="14"/>
        <v>#N/A</v>
      </c>
      <c r="AW118" s="117" t="e">
        <f t="shared" si="14"/>
        <v>#N/A</v>
      </c>
    </row>
    <row r="119" spans="1:49" x14ac:dyDescent="0.25">
      <c r="A119" t="s">
        <v>69</v>
      </c>
      <c r="B119" s="101" t="e">
        <f>IF(ISNA(B99),NA(),B110)</f>
        <v>#N/A</v>
      </c>
      <c r="C119" s="101" t="e">
        <f t="shared" ref="C119:AW119" si="15">IF(ISNA(C99),NA(),C110)</f>
        <v>#N/A</v>
      </c>
      <c r="D119" s="101" t="e">
        <f t="shared" si="15"/>
        <v>#N/A</v>
      </c>
      <c r="E119" s="101" t="e">
        <f t="shared" si="15"/>
        <v>#N/A</v>
      </c>
      <c r="F119" s="101" t="e">
        <f t="shared" si="15"/>
        <v>#N/A</v>
      </c>
      <c r="G119" s="101" t="e">
        <f t="shared" si="15"/>
        <v>#N/A</v>
      </c>
      <c r="H119" s="101" t="e">
        <f t="shared" si="15"/>
        <v>#N/A</v>
      </c>
      <c r="I119" s="101" t="e">
        <f t="shared" si="15"/>
        <v>#N/A</v>
      </c>
      <c r="J119" s="101" t="e">
        <f t="shared" si="15"/>
        <v>#N/A</v>
      </c>
      <c r="K119" s="101" t="e">
        <f t="shared" si="15"/>
        <v>#N/A</v>
      </c>
      <c r="L119" s="101" t="e">
        <f t="shared" si="15"/>
        <v>#N/A</v>
      </c>
      <c r="M119" s="101" t="e">
        <f t="shared" si="15"/>
        <v>#N/A</v>
      </c>
      <c r="N119" s="101" t="e">
        <f t="shared" si="15"/>
        <v>#N/A</v>
      </c>
      <c r="O119" s="101" t="e">
        <f t="shared" si="15"/>
        <v>#N/A</v>
      </c>
      <c r="P119" s="101" t="e">
        <f t="shared" si="15"/>
        <v>#N/A</v>
      </c>
      <c r="Q119" s="101" t="e">
        <f t="shared" si="15"/>
        <v>#N/A</v>
      </c>
      <c r="R119" s="101" t="e">
        <f t="shared" si="15"/>
        <v>#N/A</v>
      </c>
      <c r="S119" s="101" t="e">
        <f t="shared" si="15"/>
        <v>#N/A</v>
      </c>
      <c r="T119" s="101" t="e">
        <f t="shared" si="15"/>
        <v>#N/A</v>
      </c>
      <c r="U119" s="101" t="e">
        <f t="shared" si="15"/>
        <v>#N/A</v>
      </c>
      <c r="V119" s="101" t="e">
        <f t="shared" si="15"/>
        <v>#N/A</v>
      </c>
      <c r="W119" s="101" t="e">
        <f t="shared" si="15"/>
        <v>#N/A</v>
      </c>
      <c r="X119" s="101" t="e">
        <f t="shared" si="15"/>
        <v>#N/A</v>
      </c>
      <c r="Y119" s="101" t="e">
        <f t="shared" si="15"/>
        <v>#N/A</v>
      </c>
      <c r="Z119" s="101">
        <f t="shared" si="15"/>
        <v>0.42200000000000004</v>
      </c>
      <c r="AA119" s="101">
        <f t="shared" si="15"/>
        <v>0.42200000000000004</v>
      </c>
      <c r="AB119" s="101">
        <f t="shared" si="15"/>
        <v>0.42200000000000004</v>
      </c>
      <c r="AC119" s="101" t="e">
        <f t="shared" si="15"/>
        <v>#N/A</v>
      </c>
      <c r="AD119" s="101" t="e">
        <f t="shared" si="15"/>
        <v>#N/A</v>
      </c>
      <c r="AE119" s="101" t="e">
        <f t="shared" si="15"/>
        <v>#N/A</v>
      </c>
      <c r="AF119" s="101" t="e">
        <f t="shared" si="15"/>
        <v>#N/A</v>
      </c>
      <c r="AG119" s="101" t="e">
        <f t="shared" si="15"/>
        <v>#N/A</v>
      </c>
      <c r="AH119" s="101" t="e">
        <f t="shared" si="15"/>
        <v>#N/A</v>
      </c>
      <c r="AI119" s="101" t="e">
        <f t="shared" si="15"/>
        <v>#N/A</v>
      </c>
      <c r="AJ119" s="101" t="e">
        <f t="shared" si="15"/>
        <v>#N/A</v>
      </c>
      <c r="AK119" s="101" t="e">
        <f t="shared" si="15"/>
        <v>#N/A</v>
      </c>
      <c r="AL119" s="101" t="e">
        <f t="shared" si="15"/>
        <v>#N/A</v>
      </c>
      <c r="AM119" s="101" t="e">
        <f t="shared" si="15"/>
        <v>#N/A</v>
      </c>
      <c r="AN119" s="101" t="e">
        <f t="shared" si="15"/>
        <v>#N/A</v>
      </c>
      <c r="AO119" s="101" t="e">
        <f t="shared" si="15"/>
        <v>#N/A</v>
      </c>
      <c r="AP119" s="101" t="e">
        <f t="shared" si="15"/>
        <v>#N/A</v>
      </c>
      <c r="AQ119" s="101" t="e">
        <f t="shared" si="15"/>
        <v>#N/A</v>
      </c>
      <c r="AR119" s="101" t="e">
        <f t="shared" si="15"/>
        <v>#N/A</v>
      </c>
      <c r="AS119" s="101" t="e">
        <f t="shared" si="15"/>
        <v>#N/A</v>
      </c>
      <c r="AT119" s="101" t="e">
        <f t="shared" si="15"/>
        <v>#N/A</v>
      </c>
      <c r="AU119" s="101" t="e">
        <f t="shared" si="15"/>
        <v>#N/A</v>
      </c>
      <c r="AV119" s="101" t="e">
        <f t="shared" si="15"/>
        <v>#N/A</v>
      </c>
      <c r="AW119" s="101" t="e">
        <f t="shared" si="15"/>
        <v>#N/A</v>
      </c>
    </row>
    <row r="120" spans="1:49" x14ac:dyDescent="0.25">
      <c r="A120" t="s">
        <v>70</v>
      </c>
      <c r="B120" s="115" t="e">
        <f>IF(ISNA(B103),NA(),B111)</f>
        <v>#N/A</v>
      </c>
      <c r="C120" s="115" t="e">
        <f t="shared" ref="C120:AW120" si="16">IF(ISNA(C103),NA(),C111)</f>
        <v>#N/A</v>
      </c>
      <c r="D120" s="115" t="e">
        <f t="shared" si="16"/>
        <v>#N/A</v>
      </c>
      <c r="E120" s="115" t="e">
        <f t="shared" si="16"/>
        <v>#N/A</v>
      </c>
      <c r="F120" s="115" t="e">
        <f t="shared" si="16"/>
        <v>#N/A</v>
      </c>
      <c r="G120" s="115" t="e">
        <f t="shared" si="16"/>
        <v>#N/A</v>
      </c>
      <c r="H120" s="115" t="e">
        <f t="shared" si="16"/>
        <v>#N/A</v>
      </c>
      <c r="I120" s="115" t="e">
        <f t="shared" si="16"/>
        <v>#N/A</v>
      </c>
      <c r="J120" s="115" t="e">
        <f t="shared" si="16"/>
        <v>#N/A</v>
      </c>
      <c r="K120" s="115" t="e">
        <f t="shared" si="16"/>
        <v>#N/A</v>
      </c>
      <c r="L120" s="115" t="e">
        <f t="shared" si="16"/>
        <v>#N/A</v>
      </c>
      <c r="M120" s="115" t="e">
        <f t="shared" si="16"/>
        <v>#N/A</v>
      </c>
      <c r="N120" s="115" t="e">
        <f t="shared" si="16"/>
        <v>#N/A</v>
      </c>
      <c r="O120" s="115" t="e">
        <f t="shared" si="16"/>
        <v>#N/A</v>
      </c>
      <c r="P120" s="115" t="e">
        <f t="shared" si="16"/>
        <v>#N/A</v>
      </c>
      <c r="Q120" s="115" t="e">
        <f t="shared" si="16"/>
        <v>#N/A</v>
      </c>
      <c r="R120" s="115" t="e">
        <f t="shared" si="16"/>
        <v>#N/A</v>
      </c>
      <c r="S120" s="115" t="e">
        <f t="shared" si="16"/>
        <v>#N/A</v>
      </c>
      <c r="T120" s="115" t="e">
        <f t="shared" si="16"/>
        <v>#N/A</v>
      </c>
      <c r="U120" s="115" t="e">
        <f t="shared" si="16"/>
        <v>#N/A</v>
      </c>
      <c r="V120" s="115" t="e">
        <f t="shared" si="16"/>
        <v>#N/A</v>
      </c>
      <c r="W120" s="115" t="e">
        <f t="shared" si="16"/>
        <v>#N/A</v>
      </c>
      <c r="X120" s="115" t="e">
        <f t="shared" si="16"/>
        <v>#N/A</v>
      </c>
      <c r="Y120" s="115" t="e">
        <f t="shared" si="16"/>
        <v>#N/A</v>
      </c>
      <c r="Z120" s="115">
        <f t="shared" si="16"/>
        <v>2</v>
      </c>
      <c r="AA120" s="115">
        <f t="shared" si="16"/>
        <v>2</v>
      </c>
      <c r="AB120" s="115">
        <f t="shared" si="16"/>
        <v>2</v>
      </c>
      <c r="AC120" s="115" t="e">
        <f t="shared" si="16"/>
        <v>#N/A</v>
      </c>
      <c r="AD120" s="115" t="e">
        <f t="shared" si="16"/>
        <v>#N/A</v>
      </c>
      <c r="AE120" s="115" t="e">
        <f t="shared" si="16"/>
        <v>#N/A</v>
      </c>
      <c r="AF120" s="115" t="e">
        <f t="shared" si="16"/>
        <v>#N/A</v>
      </c>
      <c r="AG120" s="115" t="e">
        <f t="shared" si="16"/>
        <v>#N/A</v>
      </c>
      <c r="AH120" s="115" t="e">
        <f t="shared" si="16"/>
        <v>#N/A</v>
      </c>
      <c r="AI120" s="115" t="e">
        <f t="shared" si="16"/>
        <v>#N/A</v>
      </c>
      <c r="AJ120" s="115" t="e">
        <f t="shared" si="16"/>
        <v>#N/A</v>
      </c>
      <c r="AK120" s="115" t="e">
        <f t="shared" si="16"/>
        <v>#N/A</v>
      </c>
      <c r="AL120" s="115" t="e">
        <f t="shared" si="16"/>
        <v>#N/A</v>
      </c>
      <c r="AM120" s="115" t="e">
        <f t="shared" si="16"/>
        <v>#N/A</v>
      </c>
      <c r="AN120" s="115" t="e">
        <f t="shared" si="16"/>
        <v>#N/A</v>
      </c>
      <c r="AO120" s="115" t="e">
        <f t="shared" si="16"/>
        <v>#N/A</v>
      </c>
      <c r="AP120" s="115" t="e">
        <f t="shared" si="16"/>
        <v>#N/A</v>
      </c>
      <c r="AQ120" s="115" t="e">
        <f t="shared" si="16"/>
        <v>#N/A</v>
      </c>
      <c r="AR120" s="115" t="e">
        <f t="shared" si="16"/>
        <v>#N/A</v>
      </c>
      <c r="AS120" s="115" t="e">
        <f t="shared" si="16"/>
        <v>#N/A</v>
      </c>
      <c r="AT120" s="115" t="e">
        <f t="shared" si="16"/>
        <v>#N/A</v>
      </c>
      <c r="AU120" s="115" t="e">
        <f t="shared" si="16"/>
        <v>#N/A</v>
      </c>
      <c r="AV120" s="115" t="e">
        <f t="shared" si="16"/>
        <v>#N/A</v>
      </c>
      <c r="AW120" s="115" t="e">
        <f t="shared" si="16"/>
        <v>#N/A</v>
      </c>
    </row>
  </sheetData>
  <mergeCells count="2">
    <mergeCell ref="A2:N2"/>
    <mergeCell ref="A1:X1"/>
  </mergeCells>
  <dataValidations count="2">
    <dataValidation type="list" allowBlank="1" showInputMessage="1" showErrorMessage="1" promptTitle="Filter" prompt="Choose a district to filter all charts." sqref="B4" xr:uid="{6DA5AD9A-9EE0-334C-B902-7D744164384E}">
      <formula1>"ALL,ACCRA NORTHEAST,ADENTA,DODOWA,AGBOGBA"</formula1>
    </dataValidation>
    <dataValidation type="list" allowBlank="1" showInputMessage="1" showErrorMessage="1" promptTitle="Time period" prompt="Filter charts by time window." sqref="D4" xr:uid="{86ACAEC0-7E0A-0C4D-8494-7E4514B62313}">
      <formula1>"All,2024,2025,2026 YTD,Last 6 months,Last 12 months"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89C0-26D0-CE41-823D-2F1368B3ECC9}">
  <dimension ref="A2:I9"/>
  <sheetViews>
    <sheetView workbookViewId="0">
      <selection activeCell="E19" sqref="E19"/>
    </sheetView>
  </sheetViews>
  <sheetFormatPr baseColWidth="10" defaultRowHeight="16" x14ac:dyDescent="0.25"/>
  <cols>
    <col min="1" max="1" width="13.3984375" bestFit="1" customWidth="1"/>
    <col min="2" max="9" width="14" customWidth="1"/>
  </cols>
  <sheetData>
    <row r="2" spans="1:9" x14ac:dyDescent="0.25">
      <c r="B2" s="112">
        <v>2025</v>
      </c>
      <c r="C2" s="112"/>
      <c r="D2" s="112"/>
      <c r="E2" s="112"/>
      <c r="F2" s="112">
        <v>2026</v>
      </c>
      <c r="G2" s="112"/>
      <c r="H2" s="112"/>
      <c r="I2" s="112"/>
    </row>
    <row r="3" spans="1:9" x14ac:dyDescent="0.25">
      <c r="B3" t="s">
        <v>60</v>
      </c>
      <c r="C3" t="s">
        <v>61</v>
      </c>
      <c r="D3" t="s">
        <v>62</v>
      </c>
      <c r="E3" t="s">
        <v>63</v>
      </c>
      <c r="F3" t="s">
        <v>60</v>
      </c>
      <c r="G3" t="s">
        <v>61</v>
      </c>
      <c r="H3" t="s">
        <v>62</v>
      </c>
      <c r="I3" t="s">
        <v>63</v>
      </c>
    </row>
    <row r="4" spans="1:9" x14ac:dyDescent="0.25">
      <c r="A4" t="s">
        <v>54</v>
      </c>
      <c r="B4" s="113">
        <v>462600</v>
      </c>
      <c r="C4" s="113">
        <v>305065.74</v>
      </c>
      <c r="D4" s="113">
        <v>160154.66</v>
      </c>
      <c r="E4" s="113">
        <v>191833.41</v>
      </c>
      <c r="F4" s="113">
        <v>435051.08999999997</v>
      </c>
      <c r="G4" s="113">
        <v>324534.83</v>
      </c>
      <c r="H4" s="113">
        <v>168298.25</v>
      </c>
      <c r="I4" s="113">
        <v>228373.42</v>
      </c>
    </row>
    <row r="5" spans="1:9" x14ac:dyDescent="0.25">
      <c r="A5" t="s">
        <v>55</v>
      </c>
      <c r="B5" s="113">
        <v>4939537.49</v>
      </c>
      <c r="C5" s="113">
        <v>3221800.39</v>
      </c>
      <c r="D5" s="113">
        <v>1711806.9100000001</v>
      </c>
      <c r="E5" s="113">
        <v>2194859.25</v>
      </c>
      <c r="F5" s="113">
        <v>6187377.6699999999</v>
      </c>
      <c r="G5" s="113">
        <v>4241363.67</v>
      </c>
      <c r="H5" s="113">
        <v>3033176.42</v>
      </c>
      <c r="I5" s="113">
        <v>2931516.33</v>
      </c>
    </row>
    <row r="6" spans="1:9" x14ac:dyDescent="0.25">
      <c r="A6" t="s">
        <v>56</v>
      </c>
      <c r="B6" s="113">
        <f>B5</f>
        <v>4939537.49</v>
      </c>
      <c r="C6" s="113">
        <f t="shared" ref="C6:I6" si="0">C5</f>
        <v>3221800.39</v>
      </c>
      <c r="D6" s="113">
        <f t="shared" si="0"/>
        <v>1711806.9100000001</v>
      </c>
      <c r="E6" s="113">
        <f t="shared" si="0"/>
        <v>2194859.25</v>
      </c>
      <c r="F6" s="113">
        <f t="shared" si="0"/>
        <v>6187377.6699999999</v>
      </c>
      <c r="G6" s="113">
        <f t="shared" si="0"/>
        <v>4241363.67</v>
      </c>
      <c r="H6" s="113">
        <f t="shared" si="0"/>
        <v>3033176.42</v>
      </c>
      <c r="I6" s="113">
        <f t="shared" si="0"/>
        <v>2931516.33</v>
      </c>
    </row>
    <row r="7" spans="1:9" x14ac:dyDescent="0.25">
      <c r="A7" t="s">
        <v>57</v>
      </c>
      <c r="B7">
        <v>42.2</v>
      </c>
      <c r="C7">
        <v>35.1</v>
      </c>
      <c r="D7">
        <v>38.5</v>
      </c>
      <c r="E7">
        <v>29.2</v>
      </c>
      <c r="F7">
        <v>42.2</v>
      </c>
      <c r="G7">
        <v>35.1</v>
      </c>
      <c r="H7">
        <v>38.5</v>
      </c>
      <c r="I7">
        <v>29.2</v>
      </c>
    </row>
    <row r="8" spans="1:9" x14ac:dyDescent="0.25">
      <c r="A8" t="s">
        <v>58</v>
      </c>
      <c r="B8" s="114">
        <v>1</v>
      </c>
      <c r="C8" s="114">
        <v>1</v>
      </c>
      <c r="D8" s="114">
        <v>1</v>
      </c>
      <c r="E8" s="114">
        <v>1</v>
      </c>
      <c r="F8" s="114">
        <v>1</v>
      </c>
      <c r="G8" s="114">
        <v>1</v>
      </c>
      <c r="H8" s="114">
        <v>1</v>
      </c>
      <c r="I8" s="114">
        <v>1</v>
      </c>
    </row>
    <row r="9" spans="1:9" x14ac:dyDescent="0.25">
      <c r="A9" t="s">
        <v>59</v>
      </c>
      <c r="B9" s="115">
        <v>2</v>
      </c>
      <c r="C9" s="115">
        <v>2</v>
      </c>
      <c r="D9" s="115">
        <v>2</v>
      </c>
      <c r="E9" s="115">
        <v>2</v>
      </c>
      <c r="F9" s="115">
        <v>2</v>
      </c>
      <c r="G9" s="115">
        <v>2</v>
      </c>
      <c r="H9" s="115">
        <v>2</v>
      </c>
      <c r="I9" s="115">
        <v>2</v>
      </c>
    </row>
  </sheetData>
  <mergeCells count="2">
    <mergeCell ref="B2:E2"/>
    <mergeCell ref="F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B54D-88D6-D341-A6C9-BE43DC61413E}">
  <dimension ref="A4:AB26"/>
  <sheetViews>
    <sheetView workbookViewId="0">
      <selection activeCell="D31" sqref="D31"/>
    </sheetView>
  </sheetViews>
  <sheetFormatPr baseColWidth="10" defaultRowHeight="16" x14ac:dyDescent="0.25"/>
  <sheetData>
    <row r="4" spans="1:28" s="2" customFormat="1" ht="12" x14ac:dyDescent="0.2">
      <c r="A4" s="1" t="s">
        <v>10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s="2" customFormat="1" ht="12" x14ac:dyDescent="0.2">
      <c r="A5" s="3" t="s">
        <v>0</v>
      </c>
      <c r="B5" s="4">
        <v>45292</v>
      </c>
      <c r="C5" s="4">
        <v>45323</v>
      </c>
      <c r="D5" s="4">
        <v>45352</v>
      </c>
      <c r="E5" s="4">
        <v>45383</v>
      </c>
      <c r="F5" s="4">
        <v>45413</v>
      </c>
      <c r="G5" s="4">
        <v>45444</v>
      </c>
      <c r="H5" s="4">
        <v>45474</v>
      </c>
      <c r="I5" s="4">
        <v>45505</v>
      </c>
      <c r="J5" s="4">
        <v>45536</v>
      </c>
      <c r="K5" s="4">
        <v>45566</v>
      </c>
      <c r="L5" s="4">
        <v>45597</v>
      </c>
      <c r="M5" s="4">
        <v>45627</v>
      </c>
      <c r="N5" s="4">
        <v>45658</v>
      </c>
      <c r="O5" s="4">
        <v>45689</v>
      </c>
      <c r="P5" s="4">
        <v>45717</v>
      </c>
      <c r="Q5" s="4">
        <v>45748</v>
      </c>
      <c r="R5" s="4">
        <v>45778</v>
      </c>
      <c r="S5" s="4">
        <v>45809</v>
      </c>
      <c r="T5" s="4">
        <v>45839</v>
      </c>
      <c r="U5" s="4">
        <v>45870</v>
      </c>
      <c r="V5" s="4">
        <v>45901</v>
      </c>
      <c r="W5" s="4">
        <v>45931</v>
      </c>
      <c r="X5" s="4">
        <v>45962</v>
      </c>
      <c r="Y5" s="4">
        <v>45992</v>
      </c>
      <c r="Z5" s="4">
        <v>46023</v>
      </c>
      <c r="AA5" s="4">
        <v>46054</v>
      </c>
      <c r="AB5" s="4">
        <v>46082</v>
      </c>
    </row>
    <row r="6" spans="1:28" s="2" customFormat="1" ht="12" x14ac:dyDescent="0.2">
      <c r="A6" s="3" t="s">
        <v>1</v>
      </c>
      <c r="B6" s="5">
        <v>21591</v>
      </c>
      <c r="C6" s="5">
        <v>21633</v>
      </c>
      <c r="D6" s="5">
        <v>21578</v>
      </c>
      <c r="E6" s="5">
        <v>21727</v>
      </c>
      <c r="F6" s="5">
        <v>21799</v>
      </c>
      <c r="G6" s="5">
        <v>21930</v>
      </c>
      <c r="H6" s="5">
        <v>22007</v>
      </c>
      <c r="I6" s="5">
        <v>22042</v>
      </c>
      <c r="J6" s="5">
        <v>22066</v>
      </c>
      <c r="K6" s="5">
        <v>22153</v>
      </c>
      <c r="L6" s="5">
        <v>22154</v>
      </c>
      <c r="M6" s="5">
        <v>22260</v>
      </c>
      <c r="N6" s="5">
        <v>22410</v>
      </c>
      <c r="O6" s="5">
        <v>22480</v>
      </c>
      <c r="P6" s="5">
        <v>22564</v>
      </c>
      <c r="Q6" s="5">
        <v>22643</v>
      </c>
      <c r="R6" s="5">
        <v>22680</v>
      </c>
      <c r="S6" s="5">
        <v>22708</v>
      </c>
      <c r="T6" s="5">
        <v>22862</v>
      </c>
      <c r="U6" s="5">
        <v>22893</v>
      </c>
      <c r="V6" s="5">
        <v>22961</v>
      </c>
      <c r="W6" s="5">
        <v>23043</v>
      </c>
      <c r="X6" s="5">
        <v>23133</v>
      </c>
      <c r="Y6" s="5">
        <v>23224</v>
      </c>
      <c r="Z6" s="5">
        <v>23310</v>
      </c>
      <c r="AA6" s="5">
        <v>23410</v>
      </c>
      <c r="AB6" s="5">
        <v>23498</v>
      </c>
    </row>
    <row r="7" spans="1:28" s="2" customFormat="1" ht="12" x14ac:dyDescent="0.2">
      <c r="A7" s="3" t="s">
        <v>2</v>
      </c>
      <c r="B7" s="5">
        <v>20371</v>
      </c>
      <c r="C7" s="5">
        <v>20483</v>
      </c>
      <c r="D7" s="5">
        <v>20674</v>
      </c>
      <c r="E7" s="5">
        <v>20765</v>
      </c>
      <c r="F7" s="5">
        <v>20945</v>
      </c>
      <c r="G7" s="5">
        <v>21126</v>
      </c>
      <c r="H7" s="5">
        <v>21301</v>
      </c>
      <c r="I7" s="5">
        <v>21316</v>
      </c>
      <c r="J7" s="5">
        <v>21451</v>
      </c>
      <c r="K7" s="5">
        <v>21515</v>
      </c>
      <c r="L7" s="5">
        <v>21587</v>
      </c>
      <c r="M7" s="5">
        <v>21994</v>
      </c>
      <c r="N7" s="5">
        <v>22184</v>
      </c>
      <c r="O7" s="5">
        <v>22531</v>
      </c>
      <c r="P7" s="5">
        <v>22734</v>
      </c>
      <c r="Q7" s="5">
        <v>22896</v>
      </c>
      <c r="R7" s="5">
        <v>23075</v>
      </c>
      <c r="S7" s="5">
        <v>23224</v>
      </c>
      <c r="T7" s="5">
        <v>23425</v>
      </c>
      <c r="U7" s="5">
        <v>23738</v>
      </c>
      <c r="V7" s="5">
        <v>23962</v>
      </c>
      <c r="W7" s="5">
        <v>24185</v>
      </c>
      <c r="X7" s="5">
        <v>24417</v>
      </c>
      <c r="Y7" s="5">
        <v>24508</v>
      </c>
      <c r="Z7" s="5">
        <v>24622</v>
      </c>
      <c r="AA7" s="5">
        <v>24777</v>
      </c>
      <c r="AB7" s="5">
        <v>24894</v>
      </c>
    </row>
    <row r="8" spans="1:28" s="2" customFormat="1" ht="12" x14ac:dyDescent="0.2">
      <c r="A8" s="3" t="s">
        <v>3</v>
      </c>
      <c r="B8" s="5">
        <v>7937</v>
      </c>
      <c r="C8" s="5">
        <v>8360</v>
      </c>
      <c r="D8" s="5">
        <v>8425</v>
      </c>
      <c r="E8" s="5">
        <v>8642</v>
      </c>
      <c r="F8" s="5">
        <v>8726</v>
      </c>
      <c r="G8" s="5">
        <v>8905</v>
      </c>
      <c r="H8" s="5">
        <v>9010</v>
      </c>
      <c r="I8" s="5">
        <v>9010</v>
      </c>
      <c r="J8" s="5">
        <v>9209</v>
      </c>
      <c r="K8" s="5">
        <v>9387</v>
      </c>
      <c r="L8" s="5">
        <v>9485</v>
      </c>
      <c r="M8" s="5">
        <v>9563</v>
      </c>
      <c r="N8" s="5">
        <v>9618</v>
      </c>
      <c r="O8" s="5">
        <v>9765</v>
      </c>
      <c r="P8" s="5">
        <v>9778</v>
      </c>
      <c r="Q8" s="5">
        <v>9859</v>
      </c>
      <c r="R8" s="5">
        <v>9931</v>
      </c>
      <c r="S8" s="5">
        <v>10077</v>
      </c>
      <c r="T8" s="5">
        <v>10123</v>
      </c>
      <c r="U8" s="5">
        <v>10371</v>
      </c>
      <c r="V8" s="5">
        <v>10632</v>
      </c>
      <c r="W8" s="5">
        <v>10851</v>
      </c>
      <c r="X8" s="5">
        <v>10916</v>
      </c>
      <c r="Y8" s="5">
        <v>11026</v>
      </c>
      <c r="Z8" s="5">
        <v>11157</v>
      </c>
      <c r="AA8" s="5">
        <v>11295</v>
      </c>
      <c r="AB8" s="5">
        <v>11406</v>
      </c>
    </row>
    <row r="9" spans="1:28" s="2" customFormat="1" ht="12" x14ac:dyDescent="0.2">
      <c r="A9" s="3" t="s">
        <v>4</v>
      </c>
      <c r="B9" s="5">
        <v>11140</v>
      </c>
      <c r="C9" s="5">
        <v>11221</v>
      </c>
      <c r="D9" s="5">
        <v>10639</v>
      </c>
      <c r="E9" s="5">
        <v>11343</v>
      </c>
      <c r="F9" s="5">
        <v>11369</v>
      </c>
      <c r="G9" s="5">
        <v>11451</v>
      </c>
      <c r="H9" s="5">
        <v>11502</v>
      </c>
      <c r="I9" s="5">
        <v>11542</v>
      </c>
      <c r="J9" s="5">
        <v>11562</v>
      </c>
      <c r="K9" s="5">
        <v>11667</v>
      </c>
      <c r="L9" s="5">
        <v>11728</v>
      </c>
      <c r="M9" s="5">
        <v>11761</v>
      </c>
      <c r="N9" s="5">
        <v>11787</v>
      </c>
      <c r="O9" s="5">
        <v>11893</v>
      </c>
      <c r="P9" s="5">
        <v>11915</v>
      </c>
      <c r="Q9" s="5">
        <v>11986</v>
      </c>
      <c r="R9" s="5">
        <v>12034</v>
      </c>
      <c r="S9" s="5">
        <v>12108</v>
      </c>
      <c r="T9" s="5">
        <v>12216</v>
      </c>
      <c r="U9" s="5">
        <v>12272</v>
      </c>
      <c r="V9" s="5">
        <v>12343</v>
      </c>
      <c r="W9" s="5">
        <v>12395</v>
      </c>
      <c r="X9" s="5">
        <v>12414</v>
      </c>
      <c r="Y9" s="5">
        <v>12457</v>
      </c>
      <c r="Z9" s="5">
        <v>12517</v>
      </c>
      <c r="AA9" s="5">
        <v>12568</v>
      </c>
      <c r="AB9" s="5">
        <v>12631</v>
      </c>
    </row>
    <row r="10" spans="1:28" s="2" customFormat="1" ht="12" x14ac:dyDescent="0.2">
      <c r="A10" s="3" t="s">
        <v>13</v>
      </c>
      <c r="B10" s="5">
        <v>61039</v>
      </c>
      <c r="C10" s="5">
        <v>61697</v>
      </c>
      <c r="D10" s="5">
        <v>61316</v>
      </c>
      <c r="E10" s="5">
        <v>62477</v>
      </c>
      <c r="F10" s="5">
        <v>62839</v>
      </c>
      <c r="G10" s="5">
        <v>63412</v>
      </c>
      <c r="H10" s="5">
        <v>63820</v>
      </c>
      <c r="I10" s="5">
        <v>63910</v>
      </c>
      <c r="J10" s="5">
        <v>64288</v>
      </c>
      <c r="K10" s="5">
        <v>64722</v>
      </c>
      <c r="L10" s="5">
        <v>64954</v>
      </c>
      <c r="M10" s="5">
        <v>65578</v>
      </c>
      <c r="N10" s="5">
        <v>65999</v>
      </c>
      <c r="O10" s="5">
        <v>66669</v>
      </c>
      <c r="P10" s="5">
        <v>66991</v>
      </c>
      <c r="Q10" s="5">
        <v>67384</v>
      </c>
      <c r="R10" s="5">
        <v>67720</v>
      </c>
      <c r="S10" s="5">
        <v>68117</v>
      </c>
      <c r="T10" s="5">
        <v>68626</v>
      </c>
      <c r="U10" s="5">
        <v>69274</v>
      </c>
      <c r="V10" s="5">
        <v>69898</v>
      </c>
      <c r="W10" s="5">
        <v>70474</v>
      </c>
      <c r="X10" s="5">
        <v>70880</v>
      </c>
      <c r="Y10" s="5">
        <v>71215</v>
      </c>
      <c r="Z10" s="5">
        <v>71606</v>
      </c>
      <c r="AA10" s="5">
        <v>72050</v>
      </c>
      <c r="AB10" s="5">
        <v>72429</v>
      </c>
    </row>
    <row r="12" spans="1:28" s="2" customFormat="1" ht="12" x14ac:dyDescent="0.2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s="2" customFormat="1" ht="12" x14ac:dyDescent="0.2">
      <c r="A13" s="3" t="s">
        <v>0</v>
      </c>
      <c r="B13" s="4">
        <v>45292</v>
      </c>
      <c r="C13" s="4">
        <v>45323</v>
      </c>
      <c r="D13" s="4">
        <v>45352</v>
      </c>
      <c r="E13" s="4">
        <v>45383</v>
      </c>
      <c r="F13" s="4">
        <v>45413</v>
      </c>
      <c r="G13" s="4">
        <v>45444</v>
      </c>
      <c r="H13" s="4">
        <v>45474</v>
      </c>
      <c r="I13" s="4">
        <v>45505</v>
      </c>
      <c r="J13" s="4">
        <v>45536</v>
      </c>
      <c r="K13" s="4">
        <v>45566</v>
      </c>
      <c r="L13" s="4">
        <v>45597</v>
      </c>
      <c r="M13" s="4">
        <v>45627</v>
      </c>
      <c r="N13" s="4">
        <v>45658</v>
      </c>
      <c r="O13" s="4">
        <v>45689</v>
      </c>
      <c r="P13" s="4">
        <v>45717</v>
      </c>
      <c r="Q13" s="4">
        <v>45748</v>
      </c>
      <c r="R13" s="4">
        <v>45778</v>
      </c>
      <c r="S13" s="4">
        <v>45809</v>
      </c>
      <c r="T13" s="4">
        <v>45839</v>
      </c>
      <c r="U13" s="4">
        <v>45870</v>
      </c>
      <c r="V13" s="4">
        <v>45901</v>
      </c>
      <c r="W13" s="4">
        <v>45931</v>
      </c>
      <c r="X13" s="4">
        <v>45962</v>
      </c>
      <c r="Y13" s="4">
        <v>45992</v>
      </c>
      <c r="Z13" s="4">
        <v>46023</v>
      </c>
      <c r="AA13" s="4">
        <v>46054</v>
      </c>
      <c r="AB13" s="4">
        <v>46082</v>
      </c>
    </row>
    <row r="14" spans="1:28" s="2" customFormat="1" ht="12" x14ac:dyDescent="0.2">
      <c r="A14" s="3" t="s">
        <v>1</v>
      </c>
      <c r="B14" s="5">
        <v>4698</v>
      </c>
      <c r="C14" s="5">
        <v>4855</v>
      </c>
      <c r="D14" s="5">
        <v>4838</v>
      </c>
      <c r="E14" s="5">
        <v>5056</v>
      </c>
      <c r="F14" s="5">
        <v>4971</v>
      </c>
      <c r="G14" s="5">
        <v>5127</v>
      </c>
      <c r="H14" s="5">
        <v>5061</v>
      </c>
      <c r="I14" s="5">
        <v>5072</v>
      </c>
      <c r="J14" s="5">
        <v>5187</v>
      </c>
      <c r="K14" s="5">
        <v>5240</v>
      </c>
      <c r="L14" s="5">
        <v>5389</v>
      </c>
      <c r="M14" s="5">
        <v>5551</v>
      </c>
      <c r="N14" s="5">
        <v>5608</v>
      </c>
      <c r="O14" s="5">
        <v>5412</v>
      </c>
      <c r="P14" s="5">
        <v>4883</v>
      </c>
      <c r="Q14" s="5">
        <v>5009</v>
      </c>
      <c r="R14" s="5">
        <v>5031</v>
      </c>
      <c r="S14" s="5">
        <v>5033</v>
      </c>
      <c r="T14" s="5">
        <v>4860</v>
      </c>
      <c r="U14" s="5">
        <v>4961</v>
      </c>
      <c r="V14" s="5">
        <v>4900</v>
      </c>
      <c r="W14" s="5">
        <v>4884</v>
      </c>
      <c r="X14" s="5">
        <v>4897</v>
      </c>
      <c r="Y14" s="5">
        <v>5072</v>
      </c>
      <c r="Z14" s="5">
        <v>5051</v>
      </c>
      <c r="AA14" s="5">
        <v>5040</v>
      </c>
      <c r="AB14" s="5">
        <v>5030</v>
      </c>
    </row>
    <row r="15" spans="1:28" s="2" customFormat="1" ht="12" x14ac:dyDescent="0.2">
      <c r="A15" s="3" t="s">
        <v>2</v>
      </c>
      <c r="B15" s="5">
        <v>1142</v>
      </c>
      <c r="C15" s="5">
        <v>1135</v>
      </c>
      <c r="D15" s="5">
        <v>1178</v>
      </c>
      <c r="E15" s="5">
        <v>1235</v>
      </c>
      <c r="F15" s="5">
        <v>1232</v>
      </c>
      <c r="G15" s="5">
        <v>1224</v>
      </c>
      <c r="H15" s="5">
        <v>1281</v>
      </c>
      <c r="I15" s="5">
        <v>1175</v>
      </c>
      <c r="J15" s="5">
        <v>1174</v>
      </c>
      <c r="K15" s="5">
        <v>1219</v>
      </c>
      <c r="L15" s="5">
        <v>1327</v>
      </c>
      <c r="M15" s="5">
        <v>1499</v>
      </c>
      <c r="N15" s="5">
        <v>1435</v>
      </c>
      <c r="O15" s="5">
        <v>1434</v>
      </c>
      <c r="P15" s="5">
        <v>1481</v>
      </c>
      <c r="Q15" s="5">
        <v>1673</v>
      </c>
      <c r="R15" s="5">
        <v>1547</v>
      </c>
      <c r="S15" s="5">
        <v>1533</v>
      </c>
      <c r="T15" s="5">
        <v>1481</v>
      </c>
      <c r="U15" s="5">
        <v>1594</v>
      </c>
      <c r="V15" s="5">
        <v>1540</v>
      </c>
      <c r="W15" s="5">
        <v>1567</v>
      </c>
      <c r="X15" s="5">
        <v>1651</v>
      </c>
      <c r="Y15" s="5">
        <v>1620</v>
      </c>
      <c r="Z15" s="5">
        <v>1630</v>
      </c>
      <c r="AA15" s="5">
        <v>1663</v>
      </c>
      <c r="AB15" s="5">
        <v>1624</v>
      </c>
    </row>
    <row r="16" spans="1:28" s="2" customFormat="1" ht="12" x14ac:dyDescent="0.2">
      <c r="A16" s="3" t="s">
        <v>3</v>
      </c>
      <c r="B16" s="5">
        <v>698</v>
      </c>
      <c r="C16" s="5">
        <v>679</v>
      </c>
      <c r="D16" s="5">
        <v>675</v>
      </c>
      <c r="E16" s="5">
        <v>746</v>
      </c>
      <c r="F16" s="5">
        <v>728</v>
      </c>
      <c r="G16" s="5">
        <v>850</v>
      </c>
      <c r="H16" s="5">
        <v>853</v>
      </c>
      <c r="I16" s="5">
        <v>1039</v>
      </c>
      <c r="J16" s="5">
        <v>990</v>
      </c>
      <c r="K16" s="5">
        <v>993</v>
      </c>
      <c r="L16" s="5">
        <v>1001</v>
      </c>
      <c r="M16" s="5">
        <v>863</v>
      </c>
      <c r="N16" s="5">
        <v>843</v>
      </c>
      <c r="O16" s="5">
        <v>875</v>
      </c>
      <c r="P16" s="5">
        <v>901</v>
      </c>
      <c r="Q16" s="5">
        <v>889</v>
      </c>
      <c r="R16" s="5">
        <v>871</v>
      </c>
      <c r="S16" s="5">
        <v>890</v>
      </c>
      <c r="T16" s="5">
        <v>843</v>
      </c>
      <c r="U16" s="5">
        <v>887</v>
      </c>
      <c r="V16" s="5">
        <v>867</v>
      </c>
      <c r="W16" s="5">
        <v>866</v>
      </c>
      <c r="X16" s="5">
        <v>884</v>
      </c>
      <c r="Y16" s="5">
        <v>882</v>
      </c>
      <c r="Z16" s="5">
        <v>978</v>
      </c>
      <c r="AA16" s="5">
        <v>878</v>
      </c>
      <c r="AB16" s="5">
        <v>885</v>
      </c>
    </row>
    <row r="17" spans="1:28" s="2" customFormat="1" ht="12" x14ac:dyDescent="0.2">
      <c r="A17" s="3" t="s">
        <v>4</v>
      </c>
      <c r="B17" s="5">
        <v>1366</v>
      </c>
      <c r="C17" s="5">
        <v>1419</v>
      </c>
      <c r="D17" s="5">
        <v>1256</v>
      </c>
      <c r="E17" s="5">
        <v>1422</v>
      </c>
      <c r="F17" s="5">
        <v>1484</v>
      </c>
      <c r="G17" s="5">
        <v>1498</v>
      </c>
      <c r="H17" s="5">
        <v>1497</v>
      </c>
      <c r="I17" s="5">
        <v>1469</v>
      </c>
      <c r="J17" s="5">
        <v>1450</v>
      </c>
      <c r="K17" s="5">
        <v>1424</v>
      </c>
      <c r="L17" s="5">
        <v>1508</v>
      </c>
      <c r="M17" s="5">
        <v>1486</v>
      </c>
      <c r="N17" s="5">
        <v>1491</v>
      </c>
      <c r="O17" s="5">
        <v>1503</v>
      </c>
      <c r="P17" s="5">
        <v>1500</v>
      </c>
      <c r="Q17" s="5">
        <v>1545</v>
      </c>
      <c r="R17" s="5">
        <v>1634</v>
      </c>
      <c r="S17" s="5">
        <v>1525</v>
      </c>
      <c r="T17" s="5">
        <v>1402</v>
      </c>
      <c r="U17" s="5">
        <v>1330</v>
      </c>
      <c r="V17" s="5">
        <v>1250</v>
      </c>
      <c r="W17" s="5">
        <v>1234</v>
      </c>
      <c r="X17" s="5">
        <v>1266</v>
      </c>
      <c r="Y17" s="5">
        <v>1247</v>
      </c>
      <c r="Z17" s="5">
        <v>1270</v>
      </c>
      <c r="AA17" s="5">
        <v>1240</v>
      </c>
      <c r="AB17" s="5">
        <v>1242</v>
      </c>
    </row>
    <row r="18" spans="1:28" s="2" customFormat="1" ht="12" x14ac:dyDescent="0.2">
      <c r="A18" s="3" t="s">
        <v>13</v>
      </c>
      <c r="B18" s="5">
        <v>7904</v>
      </c>
      <c r="C18" s="5">
        <v>8088</v>
      </c>
      <c r="D18" s="5">
        <v>7947</v>
      </c>
      <c r="E18" s="5">
        <v>8459</v>
      </c>
      <c r="F18" s="5">
        <v>8415</v>
      </c>
      <c r="G18" s="5">
        <v>8699</v>
      </c>
      <c r="H18" s="5">
        <v>8692</v>
      </c>
      <c r="I18" s="5">
        <v>8755</v>
      </c>
      <c r="J18" s="5">
        <v>8801</v>
      </c>
      <c r="K18" s="5">
        <v>8876</v>
      </c>
      <c r="L18" s="5">
        <v>9225</v>
      </c>
      <c r="M18" s="5">
        <v>9399</v>
      </c>
      <c r="N18" s="5">
        <v>9377</v>
      </c>
      <c r="O18" s="5">
        <v>9224</v>
      </c>
      <c r="P18" s="5">
        <v>8765</v>
      </c>
      <c r="Q18" s="5">
        <v>9116</v>
      </c>
      <c r="R18" s="5">
        <v>9083</v>
      </c>
      <c r="S18" s="5">
        <v>8981</v>
      </c>
      <c r="T18" s="5">
        <v>8586</v>
      </c>
      <c r="U18" s="5">
        <v>8772</v>
      </c>
      <c r="V18" s="5">
        <v>8557</v>
      </c>
      <c r="W18" s="5">
        <v>8551</v>
      </c>
      <c r="X18" s="5">
        <v>8698</v>
      </c>
      <c r="Y18" s="5">
        <v>8821</v>
      </c>
      <c r="Z18" s="5">
        <v>8929</v>
      </c>
      <c r="AA18" s="5">
        <v>8821</v>
      </c>
      <c r="AB18" s="5">
        <v>8781</v>
      </c>
    </row>
    <row r="20" spans="1:28" s="2" customFormat="1" ht="12" x14ac:dyDescent="0.2">
      <c r="A20" s="1" t="s">
        <v>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s="2" customFormat="1" ht="12" x14ac:dyDescent="0.2">
      <c r="A21" s="3" t="s">
        <v>0</v>
      </c>
      <c r="B21" s="4">
        <v>45292</v>
      </c>
      <c r="C21" s="4">
        <v>45323</v>
      </c>
      <c r="D21" s="4">
        <v>45352</v>
      </c>
      <c r="E21" s="4">
        <v>45383</v>
      </c>
      <c r="F21" s="4">
        <v>45413</v>
      </c>
      <c r="G21" s="4">
        <v>45444</v>
      </c>
      <c r="H21" s="4">
        <v>45474</v>
      </c>
      <c r="I21" s="4">
        <v>45505</v>
      </c>
      <c r="J21" s="4">
        <v>45536</v>
      </c>
      <c r="K21" s="4">
        <v>45566</v>
      </c>
      <c r="L21" s="4">
        <v>45597</v>
      </c>
      <c r="M21" s="4">
        <v>45627</v>
      </c>
      <c r="N21" s="4">
        <v>45658</v>
      </c>
      <c r="O21" s="4">
        <v>45689</v>
      </c>
      <c r="P21" s="4">
        <v>45717</v>
      </c>
      <c r="Q21" s="4">
        <v>45748</v>
      </c>
      <c r="R21" s="4">
        <v>45778</v>
      </c>
      <c r="S21" s="4">
        <v>45809</v>
      </c>
      <c r="T21" s="4">
        <v>45839</v>
      </c>
      <c r="U21" s="4">
        <v>45870</v>
      </c>
      <c r="V21" s="4">
        <v>45901</v>
      </c>
      <c r="W21" s="4">
        <v>45931</v>
      </c>
      <c r="X21" s="4">
        <v>45962</v>
      </c>
      <c r="Y21" s="4">
        <v>45992</v>
      </c>
      <c r="Z21" s="4">
        <v>46023</v>
      </c>
      <c r="AA21" s="4">
        <v>46054</v>
      </c>
      <c r="AB21" s="4">
        <v>46082</v>
      </c>
    </row>
    <row r="22" spans="1:28" s="2" customFormat="1" ht="12" x14ac:dyDescent="0.2">
      <c r="A22" s="3" t="s">
        <v>1</v>
      </c>
      <c r="B22" s="6">
        <v>0.95797075711833302</v>
      </c>
      <c r="C22" s="6">
        <v>0.95994755036357138</v>
      </c>
      <c r="D22" s="6">
        <v>0.96087216248506568</v>
      </c>
      <c r="E22" s="6">
        <v>0.96035030891968087</v>
      </c>
      <c r="F22" s="6">
        <v>0.95846208699786073</v>
      </c>
      <c r="G22" s="6">
        <v>0.96203058977563527</v>
      </c>
      <c r="H22" s="6">
        <v>0.96347220583028448</v>
      </c>
      <c r="I22" s="6">
        <v>0.96517383618149677</v>
      </c>
      <c r="J22" s="6">
        <v>0.96581551039753544</v>
      </c>
      <c r="K22" s="6">
        <v>0.96588423106486132</v>
      </c>
      <c r="L22" s="6">
        <v>0.96659707724425892</v>
      </c>
      <c r="M22" s="6">
        <v>0.97001615895625115</v>
      </c>
      <c r="N22" s="6">
        <v>0.97137245566004049</v>
      </c>
      <c r="O22" s="6">
        <v>0.97158425123037262</v>
      </c>
      <c r="P22" s="6">
        <v>0.96872348849046996</v>
      </c>
      <c r="Q22" s="6">
        <v>0.97312163311596256</v>
      </c>
      <c r="R22" s="6">
        <v>0.97750580769448692</v>
      </c>
      <c r="S22" s="6">
        <v>0.97572842998585574</v>
      </c>
      <c r="T22" s="6">
        <v>0.96050438840128871</v>
      </c>
      <c r="U22" s="6">
        <v>0.95839839393263437</v>
      </c>
      <c r="V22" s="6">
        <v>0.95177454183046339</v>
      </c>
      <c r="W22" s="6">
        <v>0.95693595462305192</v>
      </c>
      <c r="X22" s="6">
        <v>0.95218249616143891</v>
      </c>
      <c r="Y22" s="6">
        <v>0.94942706037902158</v>
      </c>
      <c r="Z22" s="6">
        <v>0.94682074593351229</v>
      </c>
      <c r="AA22" s="6">
        <v>0.94594447468698961</v>
      </c>
      <c r="AB22" s="6">
        <v>0.93908711895608854</v>
      </c>
    </row>
    <row r="23" spans="1:28" s="2" customFormat="1" ht="12" x14ac:dyDescent="0.2">
      <c r="A23" s="3" t="s">
        <v>2</v>
      </c>
      <c r="B23" s="6">
        <v>0.99698372250247025</v>
      </c>
      <c r="C23" s="6">
        <v>0.99700227413686171</v>
      </c>
      <c r="D23" s="6">
        <v>0.99702503077554372</v>
      </c>
      <c r="E23" s="6">
        <v>0.99774705581157197</v>
      </c>
      <c r="F23" s="6">
        <v>0.99700705118449751</v>
      </c>
      <c r="G23" s="6">
        <v>0.99688473520249221</v>
      </c>
      <c r="H23" s="6">
        <v>0.99715284715284713</v>
      </c>
      <c r="I23" s="6">
        <v>0.99816295119408172</v>
      </c>
      <c r="J23" s="6">
        <v>0.99743551807466591</v>
      </c>
      <c r="K23" s="6">
        <v>0.99660031533307059</v>
      </c>
      <c r="L23" s="6">
        <v>0.99698914116485682</v>
      </c>
      <c r="M23" s="6">
        <v>0.99736521102707976</v>
      </c>
      <c r="N23" s="6">
        <v>0.99686731890693525</v>
      </c>
      <c r="O23" s="6">
        <v>0.99549699009337822</v>
      </c>
      <c r="P23" s="6">
        <v>0.99440079047663854</v>
      </c>
      <c r="Q23" s="6">
        <v>0.99378033265796539</v>
      </c>
      <c r="R23" s="6">
        <v>0.99001300631735412</v>
      </c>
      <c r="S23" s="6">
        <v>0.98552395002535609</v>
      </c>
      <c r="T23" s="6">
        <v>0.98286547575647099</v>
      </c>
      <c r="U23" s="6">
        <v>0.97927203757225434</v>
      </c>
      <c r="V23" s="6">
        <v>0.977523078981403</v>
      </c>
      <c r="W23" s="6">
        <v>0.97502100004421066</v>
      </c>
      <c r="X23" s="6">
        <v>0.97263463058947552</v>
      </c>
      <c r="Y23" s="6">
        <v>0.97068332750786435</v>
      </c>
      <c r="Z23" s="6">
        <v>0.96685803757828814</v>
      </c>
      <c r="AA23" s="6">
        <v>0.96391797179198757</v>
      </c>
      <c r="AB23" s="6">
        <v>0.96136656639449936</v>
      </c>
    </row>
    <row r="24" spans="1:28" s="2" customFormat="1" ht="12" x14ac:dyDescent="0.2">
      <c r="A24" s="3" t="s">
        <v>3</v>
      </c>
      <c r="B24" s="6">
        <v>0.99046829672606718</v>
      </c>
      <c r="C24" s="6">
        <v>0.98659028772295276</v>
      </c>
      <c r="D24" s="6">
        <v>0.98412903225806447</v>
      </c>
      <c r="E24" s="6">
        <v>0.98416919959473148</v>
      </c>
      <c r="F24" s="6">
        <v>0.9828707176794198</v>
      </c>
      <c r="G24" s="6">
        <v>0.98398510242085657</v>
      </c>
      <c r="H24" s="6">
        <v>0.98124310408238324</v>
      </c>
      <c r="I24" s="6">
        <v>0.98268724124952955</v>
      </c>
      <c r="J24" s="6">
        <v>0.97919454921523297</v>
      </c>
      <c r="K24" s="6">
        <v>0.97855611150822019</v>
      </c>
      <c r="L24" s="6">
        <v>0.98314474304573318</v>
      </c>
      <c r="M24" s="6">
        <v>0.97666666666666668</v>
      </c>
      <c r="N24" s="6">
        <v>0.97561253561253558</v>
      </c>
      <c r="O24" s="6">
        <v>0.97514060742407194</v>
      </c>
      <c r="P24" s="6">
        <v>0.97589275656190155</v>
      </c>
      <c r="Q24" s="6">
        <v>0.97547380156075814</v>
      </c>
      <c r="R24" s="6">
        <v>0.97362030905077268</v>
      </c>
      <c r="S24" s="6">
        <v>0.96886905409818225</v>
      </c>
      <c r="T24" s="6">
        <v>0.96142241379310345</v>
      </c>
      <c r="U24" s="6">
        <v>0.95466048080978494</v>
      </c>
      <c r="V24" s="6">
        <v>0.95074244751664105</v>
      </c>
      <c r="W24" s="6">
        <v>0.94812218327491238</v>
      </c>
      <c r="X24" s="6">
        <v>0.94607256778309412</v>
      </c>
      <c r="Y24" s="6">
        <v>0.94430205047318616</v>
      </c>
      <c r="Z24" s="6">
        <v>0.94341290893015028</v>
      </c>
      <c r="AA24" s="6">
        <v>0.93913794758567726</v>
      </c>
      <c r="AB24" s="6">
        <v>0.94021480847828154</v>
      </c>
    </row>
    <row r="25" spans="1:28" s="2" customFormat="1" ht="12" x14ac:dyDescent="0.2">
      <c r="A25" s="3" t="s">
        <v>4</v>
      </c>
      <c r="B25" s="6">
        <v>0.91886638019234701</v>
      </c>
      <c r="C25" s="6">
        <v>0.91971026321158944</v>
      </c>
      <c r="D25" s="6">
        <v>0.91495257380368755</v>
      </c>
      <c r="E25" s="6">
        <v>0.93236568894264693</v>
      </c>
      <c r="F25" s="6">
        <v>0.92776934749620632</v>
      </c>
      <c r="G25" s="6">
        <v>0.93599919622224459</v>
      </c>
      <c r="H25" s="6">
        <v>0.93863068465767119</v>
      </c>
      <c r="I25" s="6">
        <v>0.93983917402958406</v>
      </c>
      <c r="J25" s="6">
        <v>0.94333465189873422</v>
      </c>
      <c r="K25" s="6">
        <v>0.93849458166552768</v>
      </c>
      <c r="L25" s="6">
        <v>0.94579256360078279</v>
      </c>
      <c r="M25" s="6">
        <v>0.94608272506082725</v>
      </c>
      <c r="N25" s="6">
        <v>0.93939393939393945</v>
      </c>
      <c r="O25" s="6">
        <v>0.93724735322425412</v>
      </c>
      <c r="P25" s="6">
        <v>0.93682189150264039</v>
      </c>
      <c r="Q25" s="6">
        <v>0.94205535868211854</v>
      </c>
      <c r="R25" s="6">
        <v>0.94279946164199191</v>
      </c>
      <c r="S25" s="6">
        <v>0.93158839648492864</v>
      </c>
      <c r="T25" s="6">
        <v>0.92435731459219528</v>
      </c>
      <c r="U25" s="6">
        <v>0.91829647230853595</v>
      </c>
      <c r="V25" s="6">
        <v>0.91345893806905254</v>
      </c>
      <c r="W25" s="6">
        <v>0.91335901800913899</v>
      </c>
      <c r="X25" s="6">
        <v>0.90984930032292788</v>
      </c>
      <c r="Y25" s="6">
        <v>0.91034790365744866</v>
      </c>
      <c r="Z25" s="6">
        <v>0.90326309238019031</v>
      </c>
      <c r="AA25" s="6">
        <v>0.89698093220338981</v>
      </c>
      <c r="AB25" s="6">
        <v>0.89560101852664853</v>
      </c>
    </row>
    <row r="26" spans="1:28" s="2" customFormat="1" ht="12" x14ac:dyDescent="0.2">
      <c r="A26" s="3" t="s">
        <v>13</v>
      </c>
      <c r="B26" s="6">
        <v>0.96932342147360495</v>
      </c>
      <c r="C26" s="6">
        <v>0.96978119345632263</v>
      </c>
      <c r="D26" s="6">
        <v>0.96938297513537819</v>
      </c>
      <c r="E26" s="6">
        <v>0.97221296604835428</v>
      </c>
      <c r="F26" s="6">
        <v>0.9704358371306776</v>
      </c>
      <c r="G26" s="6">
        <v>0.97320563668597959</v>
      </c>
      <c r="H26" s="6">
        <v>0.97382455376578148</v>
      </c>
      <c r="I26" s="6">
        <v>0.97512464871725135</v>
      </c>
      <c r="J26" s="6">
        <v>0.97525546524411122</v>
      </c>
      <c r="K26" s="6">
        <v>0.97392830283279019</v>
      </c>
      <c r="L26" s="6">
        <v>0.97634983581259305</v>
      </c>
      <c r="M26" s="6">
        <v>0.97664607771587253</v>
      </c>
      <c r="N26" s="6">
        <v>0.97555720391367318</v>
      </c>
      <c r="O26" s="6">
        <v>0.97470624075202372</v>
      </c>
      <c r="P26" s="6">
        <v>0.97348263662281453</v>
      </c>
      <c r="Q26" s="6">
        <v>0.97544148689697785</v>
      </c>
      <c r="R26" s="6">
        <v>0.97534064359896999</v>
      </c>
      <c r="S26" s="6">
        <v>0.97035646645021645</v>
      </c>
      <c r="T26" s="6">
        <v>0.96230846102598266</v>
      </c>
      <c r="U26" s="6">
        <v>0.95819972893458072</v>
      </c>
      <c r="V26" s="6">
        <v>0.954093443317792</v>
      </c>
      <c r="W26" s="6">
        <v>0.95426652025062986</v>
      </c>
      <c r="X26" s="6">
        <v>0.95109517223633844</v>
      </c>
      <c r="Y26" s="6">
        <v>0.94937013174343687</v>
      </c>
      <c r="Z26" s="6">
        <v>0.94580149017981074</v>
      </c>
      <c r="AA26" s="6">
        <v>0.94262126555852532</v>
      </c>
      <c r="AB26" s="6">
        <v>0.93963770051375517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563F-B08D-EE4D-9820-12F6D47E569F}">
  <dimension ref="A3:AR65"/>
  <sheetViews>
    <sheetView topLeftCell="U1" workbookViewId="0">
      <selection activeCell="AC8" sqref="AC8"/>
    </sheetView>
  </sheetViews>
  <sheetFormatPr baseColWidth="10" defaultRowHeight="16" x14ac:dyDescent="0.25"/>
  <cols>
    <col min="1" max="1" width="27.59765625" style="7" bestFit="1" customWidth="1"/>
    <col min="2" max="31" width="16" style="7" customWidth="1"/>
    <col min="32" max="32" width="11" style="7"/>
    <col min="33" max="33" width="16.59765625" style="7" bestFit="1" customWidth="1"/>
    <col min="34" max="34" width="16.796875" style="7" bestFit="1" customWidth="1"/>
    <col min="35" max="35" width="16.19921875" style="7" bestFit="1" customWidth="1"/>
    <col min="36" max="36" width="16" style="7" bestFit="1" customWidth="1"/>
    <col min="37" max="37" width="16.796875" style="7" bestFit="1" customWidth="1"/>
    <col min="38" max="38" width="15.3984375" style="7" bestFit="1" customWidth="1"/>
    <col min="39" max="39" width="16" style="7" bestFit="1" customWidth="1"/>
    <col min="40" max="40" width="17.19921875" style="7" bestFit="1" customWidth="1"/>
    <col min="41" max="41" width="16.19921875" style="7" bestFit="1" customWidth="1"/>
    <col min="42" max="42" width="16" style="7" bestFit="1" customWidth="1"/>
    <col min="43" max="43" width="15.796875" style="7" bestFit="1" customWidth="1"/>
    <col min="44" max="44" width="16.796875" style="7" bestFit="1" customWidth="1"/>
    <col min="45" max="16384" width="11" style="7"/>
  </cols>
  <sheetData>
    <row r="3" spans="1:31" ht="25" customHeight="1" thickBot="1" x14ac:dyDescent="0.3">
      <c r="A3" s="12" t="s">
        <v>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7"/>
    </row>
    <row r="4" spans="1:31" ht="25" customHeight="1" thickBot="1" x14ac:dyDescent="0.3">
      <c r="A4" s="13" t="s">
        <v>0</v>
      </c>
      <c r="B4" s="20">
        <v>45292</v>
      </c>
      <c r="C4" s="21">
        <v>45323</v>
      </c>
      <c r="D4" s="21">
        <v>45352</v>
      </c>
      <c r="E4" s="21">
        <v>45383</v>
      </c>
      <c r="F4" s="21">
        <v>45413</v>
      </c>
      <c r="G4" s="21">
        <v>45444</v>
      </c>
      <c r="H4" s="21">
        <v>45474</v>
      </c>
      <c r="I4" s="21">
        <v>45505</v>
      </c>
      <c r="J4" s="21">
        <v>45536</v>
      </c>
      <c r="K4" s="21">
        <v>45566</v>
      </c>
      <c r="L4" s="21">
        <v>45597</v>
      </c>
      <c r="M4" s="30">
        <v>45627</v>
      </c>
      <c r="N4" s="29" t="s">
        <v>16</v>
      </c>
      <c r="O4" s="22">
        <v>45658</v>
      </c>
      <c r="P4" s="21">
        <v>45689</v>
      </c>
      <c r="Q4" s="21">
        <v>45717</v>
      </c>
      <c r="R4" s="21">
        <v>45748</v>
      </c>
      <c r="S4" s="21">
        <v>45778</v>
      </c>
      <c r="T4" s="21">
        <v>45809</v>
      </c>
      <c r="U4" s="21">
        <v>45839</v>
      </c>
      <c r="V4" s="21">
        <v>45870</v>
      </c>
      <c r="W4" s="21">
        <v>45901</v>
      </c>
      <c r="X4" s="21">
        <v>45931</v>
      </c>
      <c r="Y4" s="21">
        <v>45962</v>
      </c>
      <c r="Z4" s="30">
        <v>45992</v>
      </c>
      <c r="AA4" s="29" t="s">
        <v>17</v>
      </c>
      <c r="AB4" s="22">
        <v>46023</v>
      </c>
      <c r="AC4" s="21">
        <v>46054</v>
      </c>
      <c r="AD4" s="30">
        <v>46082</v>
      </c>
      <c r="AE4" s="41" t="s">
        <v>18</v>
      </c>
    </row>
    <row r="5" spans="1:31" ht="25" customHeight="1" x14ac:dyDescent="0.25">
      <c r="A5" s="14" t="s">
        <v>1</v>
      </c>
      <c r="B5" s="18">
        <v>412173</v>
      </c>
      <c r="C5" s="19">
        <v>398334</v>
      </c>
      <c r="D5" s="19">
        <v>381159</v>
      </c>
      <c r="E5" s="19">
        <v>415800</v>
      </c>
      <c r="F5" s="19">
        <v>367747</v>
      </c>
      <c r="G5" s="19">
        <v>382986</v>
      </c>
      <c r="H5" s="19">
        <v>374590</v>
      </c>
      <c r="I5" s="19">
        <v>392853</v>
      </c>
      <c r="J5" s="19">
        <v>368950</v>
      </c>
      <c r="K5" s="19">
        <v>401314</v>
      </c>
      <c r="L5" s="19">
        <v>388369</v>
      </c>
      <c r="M5" s="32">
        <v>376002</v>
      </c>
      <c r="N5" s="31">
        <f>SUM(B5:M5)</f>
        <v>4660277</v>
      </c>
      <c r="O5" s="18">
        <v>425186</v>
      </c>
      <c r="P5" s="19">
        <v>379817</v>
      </c>
      <c r="Q5" s="19">
        <v>409323</v>
      </c>
      <c r="R5" s="19">
        <v>381930</v>
      </c>
      <c r="S5" s="19">
        <v>385465</v>
      </c>
      <c r="T5" s="19">
        <v>397448</v>
      </c>
      <c r="U5" s="19">
        <v>326771</v>
      </c>
      <c r="V5" s="19">
        <v>357605</v>
      </c>
      <c r="W5" s="19">
        <v>397302.87</v>
      </c>
      <c r="X5" s="19">
        <v>396867</v>
      </c>
      <c r="Y5" s="19">
        <v>417772</v>
      </c>
      <c r="Z5" s="39">
        <v>388056</v>
      </c>
      <c r="AA5" s="31">
        <f>SUM(O5:Z5)</f>
        <v>4663542.87</v>
      </c>
      <c r="AB5" s="18">
        <v>425326</v>
      </c>
      <c r="AC5" s="19">
        <v>392393</v>
      </c>
      <c r="AD5" s="39">
        <v>389624</v>
      </c>
      <c r="AE5" s="42">
        <f>SUM(AB5:AD5)</f>
        <v>1207343</v>
      </c>
    </row>
    <row r="6" spans="1:31" ht="25" customHeight="1" x14ac:dyDescent="0.25">
      <c r="A6" s="14" t="s">
        <v>2</v>
      </c>
      <c r="B6" s="11">
        <v>352291</v>
      </c>
      <c r="C6" s="9">
        <v>270020</v>
      </c>
      <c r="D6" s="9">
        <v>280064</v>
      </c>
      <c r="E6" s="9">
        <v>282893</v>
      </c>
      <c r="F6" s="9">
        <v>255040</v>
      </c>
      <c r="G6" s="9">
        <v>272062</v>
      </c>
      <c r="H6" s="9">
        <v>246715</v>
      </c>
      <c r="I6" s="9">
        <v>277318</v>
      </c>
      <c r="J6" s="9">
        <v>256719</v>
      </c>
      <c r="K6" s="9">
        <v>257341</v>
      </c>
      <c r="L6" s="9">
        <v>299957</v>
      </c>
      <c r="M6" s="34">
        <v>249730</v>
      </c>
      <c r="N6" s="33">
        <f>SUM(B6:M6)</f>
        <v>3300150</v>
      </c>
      <c r="O6" s="11">
        <v>337351</v>
      </c>
      <c r="P6" s="9">
        <v>292503</v>
      </c>
      <c r="Q6" s="9">
        <v>289603</v>
      </c>
      <c r="R6" s="9">
        <v>272703</v>
      </c>
      <c r="S6" s="9">
        <v>298376</v>
      </c>
      <c r="T6" s="9">
        <v>279813</v>
      </c>
      <c r="U6" s="9">
        <v>221569</v>
      </c>
      <c r="V6" s="9">
        <v>300432</v>
      </c>
      <c r="W6" s="9">
        <v>275556</v>
      </c>
      <c r="X6" s="9">
        <v>321512</v>
      </c>
      <c r="Y6" s="9">
        <v>305633</v>
      </c>
      <c r="Z6" s="34">
        <v>283807</v>
      </c>
      <c r="AA6" s="33">
        <f>SUM(O6:Z6)</f>
        <v>3478858</v>
      </c>
      <c r="AB6" s="11">
        <v>385085</v>
      </c>
      <c r="AC6" s="9">
        <v>309683</v>
      </c>
      <c r="AD6" s="34">
        <v>307220</v>
      </c>
      <c r="AE6" s="43">
        <f>SUM(AB6:AD6)</f>
        <v>1001988</v>
      </c>
    </row>
    <row r="7" spans="1:31" ht="25" customHeight="1" x14ac:dyDescent="0.25">
      <c r="A7" s="14" t="s">
        <v>3</v>
      </c>
      <c r="B7" s="11">
        <v>132357</v>
      </c>
      <c r="C7" s="9">
        <v>138760</v>
      </c>
      <c r="D7" s="9">
        <v>136080</v>
      </c>
      <c r="E7" s="9">
        <v>142684</v>
      </c>
      <c r="F7" s="9">
        <v>140465</v>
      </c>
      <c r="G7" s="9">
        <v>130980</v>
      </c>
      <c r="H7" s="9">
        <v>121991</v>
      </c>
      <c r="I7" s="9">
        <v>124574</v>
      </c>
      <c r="J7" s="9">
        <v>137112</v>
      </c>
      <c r="K7" s="9">
        <v>135270</v>
      </c>
      <c r="L7" s="9">
        <v>149186</v>
      </c>
      <c r="M7" s="34">
        <v>133357</v>
      </c>
      <c r="N7" s="33">
        <f>SUM(B7:M7)</f>
        <v>1622816</v>
      </c>
      <c r="O7" s="11">
        <v>169549</v>
      </c>
      <c r="P7" s="9">
        <v>151520</v>
      </c>
      <c r="Q7" s="9">
        <v>157163</v>
      </c>
      <c r="R7" s="9">
        <v>148910</v>
      </c>
      <c r="S7" s="9">
        <v>161638</v>
      </c>
      <c r="T7" s="9">
        <v>152229</v>
      </c>
      <c r="U7" s="9">
        <v>106188</v>
      </c>
      <c r="V7" s="9">
        <v>140013</v>
      </c>
      <c r="W7" s="9">
        <v>140647</v>
      </c>
      <c r="X7" s="9">
        <v>164273</v>
      </c>
      <c r="Y7" s="9">
        <v>159223</v>
      </c>
      <c r="Z7" s="34">
        <v>152725</v>
      </c>
      <c r="AA7" s="33">
        <f>SUM(O7:Z7)</f>
        <v>1804078</v>
      </c>
      <c r="AB7" s="11">
        <v>179351</v>
      </c>
      <c r="AC7" s="9">
        <v>161662</v>
      </c>
      <c r="AD7" s="34">
        <v>151594</v>
      </c>
      <c r="AE7" s="43">
        <f>SUM(AB7:AD7)</f>
        <v>492607</v>
      </c>
    </row>
    <row r="8" spans="1:31" ht="25" customHeight="1" thickBot="1" x14ac:dyDescent="0.3">
      <c r="A8" s="15" t="s">
        <v>4</v>
      </c>
      <c r="B8" s="26">
        <v>208009</v>
      </c>
      <c r="C8" s="27">
        <v>199030</v>
      </c>
      <c r="D8" s="27">
        <v>179802</v>
      </c>
      <c r="E8" s="27">
        <v>198138</v>
      </c>
      <c r="F8" s="27">
        <v>255142</v>
      </c>
      <c r="G8" s="27">
        <v>206259</v>
      </c>
      <c r="H8" s="27">
        <v>196494</v>
      </c>
      <c r="I8" s="27">
        <v>207708</v>
      </c>
      <c r="J8" s="27">
        <v>191859</v>
      </c>
      <c r="K8" s="27">
        <v>197266</v>
      </c>
      <c r="L8" s="27">
        <v>206389</v>
      </c>
      <c r="M8" s="36">
        <v>188805</v>
      </c>
      <c r="N8" s="35">
        <f>SUM(B8:M8)</f>
        <v>2434901</v>
      </c>
      <c r="O8" s="28">
        <v>232664</v>
      </c>
      <c r="P8" s="27">
        <v>207604</v>
      </c>
      <c r="Q8" s="27">
        <v>202680</v>
      </c>
      <c r="R8" s="27">
        <v>198094</v>
      </c>
      <c r="S8" s="27">
        <v>202187</v>
      </c>
      <c r="T8" s="27">
        <v>212135</v>
      </c>
      <c r="U8" s="27">
        <v>169770</v>
      </c>
      <c r="V8" s="27">
        <v>208316</v>
      </c>
      <c r="W8" s="27">
        <v>203169</v>
      </c>
      <c r="X8" s="27">
        <v>204949</v>
      </c>
      <c r="Y8" s="27">
        <v>209379</v>
      </c>
      <c r="Z8" s="36">
        <v>197108</v>
      </c>
      <c r="AA8" s="35">
        <f>SUM(O8:Z8)</f>
        <v>2448055</v>
      </c>
      <c r="AB8" s="28">
        <v>223020</v>
      </c>
      <c r="AC8" s="27">
        <v>205740</v>
      </c>
      <c r="AD8" s="36">
        <v>205755</v>
      </c>
      <c r="AE8" s="44">
        <f>SUM(AB8:AD8)</f>
        <v>634515</v>
      </c>
    </row>
    <row r="9" spans="1:31" ht="25" customHeight="1" thickBot="1" x14ac:dyDescent="0.3">
      <c r="A9" s="23" t="s">
        <v>13</v>
      </c>
      <c r="B9" s="24">
        <v>1104830</v>
      </c>
      <c r="C9" s="25">
        <v>1006144</v>
      </c>
      <c r="D9" s="25">
        <v>977105</v>
      </c>
      <c r="E9" s="25">
        <v>1039515</v>
      </c>
      <c r="F9" s="25">
        <v>1018394</v>
      </c>
      <c r="G9" s="25">
        <v>992287</v>
      </c>
      <c r="H9" s="25">
        <v>939790</v>
      </c>
      <c r="I9" s="25">
        <v>1002453</v>
      </c>
      <c r="J9" s="25">
        <v>954640</v>
      </c>
      <c r="K9" s="25">
        <v>991191</v>
      </c>
      <c r="L9" s="25">
        <v>1043901</v>
      </c>
      <c r="M9" s="38">
        <v>947894</v>
      </c>
      <c r="N9" s="37">
        <f>SUM(B9:M9)</f>
        <v>12018144</v>
      </c>
      <c r="O9" s="24">
        <v>1164750</v>
      </c>
      <c r="P9" s="25">
        <v>1031444</v>
      </c>
      <c r="Q9" s="25">
        <v>1058769</v>
      </c>
      <c r="R9" s="25">
        <v>1001637</v>
      </c>
      <c r="S9" s="25">
        <v>1047666</v>
      </c>
      <c r="T9" s="25">
        <v>1041625</v>
      </c>
      <c r="U9" s="25">
        <v>824298</v>
      </c>
      <c r="V9" s="25">
        <v>1006366</v>
      </c>
      <c r="W9" s="25">
        <v>1016674.87</v>
      </c>
      <c r="X9" s="25">
        <v>1087601</v>
      </c>
      <c r="Y9" s="25">
        <v>1092007</v>
      </c>
      <c r="Z9" s="40">
        <v>1021696</v>
      </c>
      <c r="AA9" s="37">
        <f>SUM(O9:Z9)</f>
        <v>12394533.869999999</v>
      </c>
      <c r="AB9" s="24">
        <v>1212782</v>
      </c>
      <c r="AC9" s="25">
        <v>1069478</v>
      </c>
      <c r="AD9" s="40">
        <v>1054193</v>
      </c>
      <c r="AE9" s="45">
        <f>SUM(AB9:AD9)</f>
        <v>3336453</v>
      </c>
    </row>
    <row r="11" spans="1:31" ht="25" customHeight="1" thickBot="1" x14ac:dyDescent="0.3">
      <c r="A11" s="8" t="s">
        <v>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1" ht="25" customHeight="1" thickBot="1" x14ac:dyDescent="0.3">
      <c r="A12" s="13"/>
      <c r="B12" s="20">
        <v>45292</v>
      </c>
      <c r="C12" s="21">
        <v>45323</v>
      </c>
      <c r="D12" s="21">
        <v>45352</v>
      </c>
      <c r="E12" s="21">
        <v>45383</v>
      </c>
      <c r="F12" s="21">
        <v>45413</v>
      </c>
      <c r="G12" s="21">
        <v>45444</v>
      </c>
      <c r="H12" s="21">
        <v>45474</v>
      </c>
      <c r="I12" s="21">
        <v>45505</v>
      </c>
      <c r="J12" s="21">
        <v>45536</v>
      </c>
      <c r="K12" s="21">
        <v>45566</v>
      </c>
      <c r="L12" s="21">
        <v>45597</v>
      </c>
      <c r="M12" s="30">
        <v>45627</v>
      </c>
      <c r="N12" s="29" t="s">
        <v>16</v>
      </c>
      <c r="O12" s="22">
        <v>45658</v>
      </c>
      <c r="P12" s="21">
        <v>45689</v>
      </c>
      <c r="Q12" s="21">
        <v>45717</v>
      </c>
      <c r="R12" s="21">
        <v>45748</v>
      </c>
      <c r="S12" s="21">
        <v>45778</v>
      </c>
      <c r="T12" s="21">
        <v>45809</v>
      </c>
      <c r="U12" s="21">
        <v>45839</v>
      </c>
      <c r="V12" s="21">
        <v>45870</v>
      </c>
      <c r="W12" s="21">
        <v>45901</v>
      </c>
      <c r="X12" s="21">
        <v>45931</v>
      </c>
      <c r="Y12" s="21">
        <v>45962</v>
      </c>
      <c r="Z12" s="30">
        <v>45992</v>
      </c>
      <c r="AA12" s="29" t="s">
        <v>17</v>
      </c>
      <c r="AB12" s="22">
        <v>46023</v>
      </c>
      <c r="AC12" s="21">
        <v>46054</v>
      </c>
      <c r="AD12" s="30">
        <v>46082</v>
      </c>
      <c r="AE12" s="41" t="s">
        <v>18</v>
      </c>
    </row>
    <row r="13" spans="1:31" ht="25" customHeight="1" x14ac:dyDescent="0.25">
      <c r="A13" s="14" t="s">
        <v>1</v>
      </c>
      <c r="B13" s="18">
        <v>4476806.0100000007</v>
      </c>
      <c r="C13" s="19">
        <v>4277320.95</v>
      </c>
      <c r="D13" s="19">
        <v>4083691.28</v>
      </c>
      <c r="E13" s="19">
        <v>4527187.5300000012</v>
      </c>
      <c r="F13" s="19">
        <v>3944031.1199999996</v>
      </c>
      <c r="G13" s="19">
        <v>4084479.04</v>
      </c>
      <c r="H13" s="19">
        <v>4227661.9399999995</v>
      </c>
      <c r="I13" s="19">
        <v>4435892.62</v>
      </c>
      <c r="J13" s="19">
        <v>4132600.4299999997</v>
      </c>
      <c r="K13" s="19">
        <v>4617984.4000000004</v>
      </c>
      <c r="L13" s="19">
        <v>4450100.1000000006</v>
      </c>
      <c r="M13" s="32">
        <v>4283723.8899999997</v>
      </c>
      <c r="N13" s="31">
        <f>SUM(B13:M13)</f>
        <v>51541479.310000002</v>
      </c>
      <c r="O13" s="18">
        <v>4791405.2199999988</v>
      </c>
      <c r="P13" s="19">
        <v>4364504.6900000004</v>
      </c>
      <c r="Q13" s="19">
        <v>4607953.25</v>
      </c>
      <c r="R13" s="19">
        <v>4372945.4500000011</v>
      </c>
      <c r="S13" s="19">
        <v>4559707.9400000004</v>
      </c>
      <c r="T13" s="19">
        <v>4691285.7799999993</v>
      </c>
      <c r="U13" s="19">
        <v>3890951.84</v>
      </c>
      <c r="V13" s="19">
        <v>4259936.79</v>
      </c>
      <c r="W13" s="19">
        <v>4717622.1199999992</v>
      </c>
      <c r="X13" s="19">
        <v>4694424.3800000008</v>
      </c>
      <c r="Y13" s="19">
        <v>4950004.7699999996</v>
      </c>
      <c r="Z13" s="39">
        <v>4567852.74</v>
      </c>
      <c r="AA13" s="31">
        <f>SUM(O13:Z13)</f>
        <v>54468594.970000006</v>
      </c>
      <c r="AB13" s="18">
        <v>5774412.6399999987</v>
      </c>
      <c r="AC13" s="19">
        <v>5394056.1699999999</v>
      </c>
      <c r="AD13" s="39">
        <v>5433838.2200000007</v>
      </c>
      <c r="AE13" s="42">
        <f>SUM(AB13:AD13)</f>
        <v>16602307.029999999</v>
      </c>
    </row>
    <row r="14" spans="1:31" ht="25" customHeight="1" x14ac:dyDescent="0.25">
      <c r="A14" s="14" t="s">
        <v>2</v>
      </c>
      <c r="B14" s="11">
        <v>4415837.8899999997</v>
      </c>
      <c r="C14" s="9">
        <v>2647433.4099999997</v>
      </c>
      <c r="D14" s="9">
        <v>2717970</v>
      </c>
      <c r="E14" s="9">
        <v>2776734.86</v>
      </c>
      <c r="F14" s="9">
        <v>2500444.2999999998</v>
      </c>
      <c r="G14" s="9">
        <v>2668481.1</v>
      </c>
      <c r="H14" s="9">
        <v>2542275.5300000003</v>
      </c>
      <c r="I14" s="9">
        <v>2844430.2199999997</v>
      </c>
      <c r="J14" s="9">
        <v>2647415.1</v>
      </c>
      <c r="K14" s="9">
        <v>2699018.13</v>
      </c>
      <c r="L14" s="9">
        <v>3142201.05</v>
      </c>
      <c r="M14" s="34">
        <v>2621924.8800000004</v>
      </c>
      <c r="N14" s="33">
        <f>SUM(B14:M14)</f>
        <v>34224166.469999999</v>
      </c>
      <c r="O14" s="11">
        <v>3522924.6999999997</v>
      </c>
      <c r="P14" s="9">
        <v>3100255.1</v>
      </c>
      <c r="Q14" s="9">
        <v>3077762.5800000005</v>
      </c>
      <c r="R14" s="9">
        <v>2934221.9599999995</v>
      </c>
      <c r="S14" s="9">
        <v>3317458.0800000005</v>
      </c>
      <c r="T14" s="9">
        <v>3073347.4800000004</v>
      </c>
      <c r="U14" s="9">
        <v>2453853.5799999996</v>
      </c>
      <c r="V14" s="9">
        <v>3324877.1999999997</v>
      </c>
      <c r="W14" s="9">
        <v>3076423.76</v>
      </c>
      <c r="X14" s="9">
        <v>3577698.2900000005</v>
      </c>
      <c r="Y14" s="9">
        <v>3355288.1999999997</v>
      </c>
      <c r="Z14" s="34">
        <v>3195444.7399999998</v>
      </c>
      <c r="AA14" s="33">
        <f>SUM(O14:Z14)</f>
        <v>38009555.670000002</v>
      </c>
      <c r="AB14" s="11">
        <v>5022576.5</v>
      </c>
      <c r="AC14" s="9">
        <v>4037523.4799999991</v>
      </c>
      <c r="AD14" s="34">
        <v>4094370.9999999995</v>
      </c>
      <c r="AE14" s="43">
        <f>SUM(AB14:AD14)</f>
        <v>13154470.979999999</v>
      </c>
    </row>
    <row r="15" spans="1:31" ht="25" customHeight="1" x14ac:dyDescent="0.25">
      <c r="A15" s="14" t="s">
        <v>3</v>
      </c>
      <c r="B15" s="11">
        <v>1688979.61</v>
      </c>
      <c r="C15" s="9">
        <v>1834924.4700000002</v>
      </c>
      <c r="D15" s="9">
        <v>1729609.4300000002</v>
      </c>
      <c r="E15" s="9">
        <v>1889676.92</v>
      </c>
      <c r="F15" s="9">
        <v>1887294.92</v>
      </c>
      <c r="G15" s="9">
        <v>1766879.7699999998</v>
      </c>
      <c r="H15" s="9">
        <v>1703688.52</v>
      </c>
      <c r="I15" s="9">
        <v>1786756.9400000002</v>
      </c>
      <c r="J15" s="9">
        <v>1873438.4300000002</v>
      </c>
      <c r="K15" s="9">
        <v>1961924.28</v>
      </c>
      <c r="L15" s="9">
        <v>2061572.4600000002</v>
      </c>
      <c r="M15" s="34">
        <v>1960529.5499999998</v>
      </c>
      <c r="N15" s="33">
        <f>SUM(B15:M15)</f>
        <v>22145275.300000001</v>
      </c>
      <c r="O15" s="11">
        <v>2330063.4800000004</v>
      </c>
      <c r="P15" s="9">
        <v>2101937.62</v>
      </c>
      <c r="Q15" s="9">
        <v>2379038.4300000002</v>
      </c>
      <c r="R15" s="9">
        <v>2149167.1</v>
      </c>
      <c r="S15" s="9">
        <v>2619743.1100000003</v>
      </c>
      <c r="T15" s="9">
        <v>2278002.7999999998</v>
      </c>
      <c r="U15" s="9">
        <v>1693408.39</v>
      </c>
      <c r="V15" s="9">
        <v>1819522.05</v>
      </c>
      <c r="W15" s="9">
        <v>2071348.48</v>
      </c>
      <c r="X15" s="9">
        <v>2368261.1999999997</v>
      </c>
      <c r="Y15" s="9">
        <v>2387408.6799999997</v>
      </c>
      <c r="Z15" s="34">
        <v>2318332.98</v>
      </c>
      <c r="AA15" s="33">
        <f>SUM(O15:Z15)</f>
        <v>26516234.320000004</v>
      </c>
      <c r="AB15" s="11">
        <v>3071356.1</v>
      </c>
      <c r="AC15" s="9">
        <v>2894853.55</v>
      </c>
      <c r="AD15" s="34">
        <v>2568848.2599999998</v>
      </c>
      <c r="AE15" s="43">
        <f>SUM(AB15:AD15)</f>
        <v>8535057.9100000001</v>
      </c>
    </row>
    <row r="16" spans="1:31" ht="25" customHeight="1" thickBot="1" x14ac:dyDescent="0.3">
      <c r="A16" s="15" t="s">
        <v>4</v>
      </c>
      <c r="B16" s="26">
        <v>2073429.3299999998</v>
      </c>
      <c r="C16" s="27">
        <v>1990961.67</v>
      </c>
      <c r="D16" s="27">
        <v>1780712.64</v>
      </c>
      <c r="E16" s="27">
        <v>1988156.8499999996</v>
      </c>
      <c r="F16" s="27">
        <v>2676519.02</v>
      </c>
      <c r="G16" s="27">
        <v>2038683.95</v>
      </c>
      <c r="H16" s="27">
        <v>2040677.11</v>
      </c>
      <c r="I16" s="27">
        <v>2179419.4699999997</v>
      </c>
      <c r="J16" s="27">
        <v>1987944.01</v>
      </c>
      <c r="K16" s="27">
        <v>2069715.7000000002</v>
      </c>
      <c r="L16" s="27">
        <v>2174028.7400000002</v>
      </c>
      <c r="M16" s="36">
        <v>1984908.13</v>
      </c>
      <c r="N16" s="35">
        <f>SUM(B16:M16)</f>
        <v>24985156.620000001</v>
      </c>
      <c r="O16" s="28">
        <v>2441943.1799999997</v>
      </c>
      <c r="P16" s="27">
        <v>2195890.4300000002</v>
      </c>
      <c r="Q16" s="27">
        <v>2115578.15</v>
      </c>
      <c r="R16" s="27">
        <v>2071133.5600000003</v>
      </c>
      <c r="S16" s="27">
        <v>2191231.8000000003</v>
      </c>
      <c r="T16" s="27">
        <v>2320084.4899999998</v>
      </c>
      <c r="U16" s="27">
        <v>1859416.7899999998</v>
      </c>
      <c r="V16" s="27">
        <v>2271361.62</v>
      </c>
      <c r="W16" s="27">
        <v>2226270.21</v>
      </c>
      <c r="X16" s="27">
        <v>2234368.1500000004</v>
      </c>
      <c r="Y16" s="27">
        <v>2273658.3000000003</v>
      </c>
      <c r="Z16" s="36">
        <v>2171844.4500000002</v>
      </c>
      <c r="AA16" s="35">
        <f>SUM(O16:Z16)</f>
        <v>26372781.130000003</v>
      </c>
      <c r="AB16" s="28">
        <v>2796488.1999999997</v>
      </c>
      <c r="AC16" s="27">
        <v>2609615.0600000005</v>
      </c>
      <c r="AD16" s="36">
        <v>2621258.52</v>
      </c>
      <c r="AE16" s="44">
        <f>SUM(AB16:AD16)</f>
        <v>8027361.7799999993</v>
      </c>
    </row>
    <row r="17" spans="1:44" ht="25" customHeight="1" thickBot="1" x14ac:dyDescent="0.3">
      <c r="A17" s="23" t="s">
        <v>13</v>
      </c>
      <c r="B17" s="24">
        <v>12655052.84</v>
      </c>
      <c r="C17" s="25">
        <v>10750640.5</v>
      </c>
      <c r="D17" s="25">
        <v>10311983.35</v>
      </c>
      <c r="E17" s="25">
        <v>11181756.16</v>
      </c>
      <c r="F17" s="25">
        <v>11008289.359999999</v>
      </c>
      <c r="G17" s="25">
        <v>10558523.859999999</v>
      </c>
      <c r="H17" s="25">
        <v>10514303.1</v>
      </c>
      <c r="I17" s="25">
        <v>11246499.25</v>
      </c>
      <c r="J17" s="25">
        <v>10641397.969999999</v>
      </c>
      <c r="K17" s="25">
        <v>11348642.510000002</v>
      </c>
      <c r="L17" s="25">
        <v>11827902.350000001</v>
      </c>
      <c r="M17" s="38">
        <v>10851086.449999999</v>
      </c>
      <c r="N17" s="37">
        <f>SUM(B17:M17)</f>
        <v>132896077.7</v>
      </c>
      <c r="O17" s="24">
        <v>13086336.579999998</v>
      </c>
      <c r="P17" s="25">
        <v>11762587.84</v>
      </c>
      <c r="Q17" s="25">
        <v>12180332.41</v>
      </c>
      <c r="R17" s="25">
        <v>11527468.07</v>
      </c>
      <c r="S17" s="25">
        <v>12688140.930000003</v>
      </c>
      <c r="T17" s="25">
        <v>12362720.549999999</v>
      </c>
      <c r="U17" s="25">
        <v>9897630.5999999996</v>
      </c>
      <c r="V17" s="25">
        <v>11675697.66</v>
      </c>
      <c r="W17" s="25">
        <v>12091664.57</v>
      </c>
      <c r="X17" s="25">
        <v>12874752.020000001</v>
      </c>
      <c r="Y17" s="25">
        <v>12966359.949999999</v>
      </c>
      <c r="Z17" s="40">
        <v>12253474.91</v>
      </c>
      <c r="AA17" s="37">
        <f>SUM(O17:Z17)</f>
        <v>145367166.08999997</v>
      </c>
      <c r="AB17" s="24">
        <v>16664833.439999998</v>
      </c>
      <c r="AC17" s="25">
        <v>14936048.26</v>
      </c>
      <c r="AD17" s="40">
        <v>14718316</v>
      </c>
      <c r="AE17" s="45">
        <f>SUM(AB17:AD17)</f>
        <v>46319197.699999996</v>
      </c>
    </row>
    <row r="19" spans="1:44" ht="25" customHeight="1" thickBot="1" x14ac:dyDescent="0.3">
      <c r="A19" s="8" t="s">
        <v>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44" ht="25" customHeight="1" thickBot="1" x14ac:dyDescent="0.3">
      <c r="A20" s="13"/>
      <c r="B20" s="20">
        <v>45292</v>
      </c>
      <c r="C20" s="21">
        <v>45323</v>
      </c>
      <c r="D20" s="21">
        <v>45352</v>
      </c>
      <c r="E20" s="21">
        <v>45383</v>
      </c>
      <c r="F20" s="21">
        <v>45413</v>
      </c>
      <c r="G20" s="21">
        <v>45444</v>
      </c>
      <c r="H20" s="21">
        <v>45474</v>
      </c>
      <c r="I20" s="21">
        <v>45505</v>
      </c>
      <c r="J20" s="21">
        <v>45536</v>
      </c>
      <c r="K20" s="21">
        <v>45566</v>
      </c>
      <c r="L20" s="21">
        <v>45597</v>
      </c>
      <c r="M20" s="30">
        <v>45627</v>
      </c>
      <c r="N20" s="29" t="s">
        <v>16</v>
      </c>
      <c r="O20" s="22">
        <v>45658</v>
      </c>
      <c r="P20" s="21">
        <v>45689</v>
      </c>
      <c r="Q20" s="21">
        <v>45717</v>
      </c>
      <c r="R20" s="21">
        <v>45748</v>
      </c>
      <c r="S20" s="21">
        <v>45778</v>
      </c>
      <c r="T20" s="21">
        <v>45809</v>
      </c>
      <c r="U20" s="21">
        <v>45839</v>
      </c>
      <c r="V20" s="21">
        <v>45870</v>
      </c>
      <c r="W20" s="21">
        <v>45901</v>
      </c>
      <c r="X20" s="21">
        <v>45931</v>
      </c>
      <c r="Y20" s="21">
        <v>45962</v>
      </c>
      <c r="Z20" s="30">
        <v>45992</v>
      </c>
      <c r="AA20" s="29" t="s">
        <v>17</v>
      </c>
      <c r="AB20" s="22">
        <v>46023</v>
      </c>
      <c r="AC20" s="21">
        <v>46054</v>
      </c>
      <c r="AD20" s="30">
        <v>46082</v>
      </c>
      <c r="AE20" s="41" t="s">
        <v>18</v>
      </c>
    </row>
    <row r="21" spans="1:44" ht="25" customHeight="1" x14ac:dyDescent="0.25">
      <c r="A21" s="14" t="s">
        <v>1</v>
      </c>
      <c r="B21" s="18">
        <v>4320463.53</v>
      </c>
      <c r="C21" s="19">
        <v>4033174.1599999997</v>
      </c>
      <c r="D21" s="19">
        <v>4022788.7599999993</v>
      </c>
      <c r="E21" s="19">
        <v>19660859.539999999</v>
      </c>
      <c r="F21" s="19">
        <v>4392258.4400000013</v>
      </c>
      <c r="G21" s="19">
        <v>3764467.1999999997</v>
      </c>
      <c r="H21" s="19">
        <v>3953300.3600000003</v>
      </c>
      <c r="I21" s="19">
        <v>3992082.2700000005</v>
      </c>
      <c r="J21" s="19">
        <v>3544672.4</v>
      </c>
      <c r="K21" s="19">
        <v>4929776.87</v>
      </c>
      <c r="L21" s="19">
        <v>3740989.2399999998</v>
      </c>
      <c r="M21" s="32">
        <v>4080794.07</v>
      </c>
      <c r="N21" s="31">
        <f>SUM(B21:M21)</f>
        <v>64435626.840000004</v>
      </c>
      <c r="O21" s="18">
        <v>3915695.7899999996</v>
      </c>
      <c r="P21" s="19">
        <v>4047955.8</v>
      </c>
      <c r="Q21" s="19">
        <v>3845322.9299999997</v>
      </c>
      <c r="R21" s="19">
        <v>3786801.96</v>
      </c>
      <c r="S21" s="19">
        <v>4167582.0899999994</v>
      </c>
      <c r="T21" s="19">
        <v>3762389.9400000004</v>
      </c>
      <c r="U21" s="19">
        <v>4152382.81</v>
      </c>
      <c r="V21" s="19">
        <v>3615514.91</v>
      </c>
      <c r="W21" s="19">
        <v>4142996.92</v>
      </c>
      <c r="X21" s="19">
        <v>4269725.46</v>
      </c>
      <c r="Y21" s="19">
        <v>3697845.08</v>
      </c>
      <c r="Z21" s="39">
        <v>4434044.79</v>
      </c>
      <c r="AA21" s="31">
        <f>SUM(O21:Z21)</f>
        <v>47838258.479999997</v>
      </c>
      <c r="AB21" s="18">
        <v>4332767.8599999994</v>
      </c>
      <c r="AC21" s="19">
        <v>4496230.0000000009</v>
      </c>
      <c r="AD21" s="39">
        <v>5028576.6300000008</v>
      </c>
      <c r="AE21" s="42">
        <f>SUM(AB21:AD21)</f>
        <v>13857574.49</v>
      </c>
    </row>
    <row r="22" spans="1:44" ht="25" customHeight="1" x14ac:dyDescent="0.25">
      <c r="A22" s="14" t="s">
        <v>2</v>
      </c>
      <c r="B22" s="11">
        <v>2331260.02</v>
      </c>
      <c r="C22" s="9">
        <v>2503962.1299999994</v>
      </c>
      <c r="D22" s="9">
        <v>2386370.0700000003</v>
      </c>
      <c r="E22" s="9">
        <v>3211800.42</v>
      </c>
      <c r="F22" s="9">
        <v>2745593.6200000006</v>
      </c>
      <c r="G22" s="9">
        <v>2628822.25</v>
      </c>
      <c r="H22" s="9">
        <v>2615328.33</v>
      </c>
      <c r="I22" s="9">
        <v>2629563.6700000004</v>
      </c>
      <c r="J22" s="9">
        <v>2436104.3999999994</v>
      </c>
      <c r="K22" s="9">
        <v>2852937.6800000006</v>
      </c>
      <c r="L22" s="9">
        <v>2394513.4200000004</v>
      </c>
      <c r="M22" s="34">
        <v>2784652.4499999997</v>
      </c>
      <c r="N22" s="33">
        <f>SUM(B22:M22)</f>
        <v>31520908.460000005</v>
      </c>
      <c r="O22" s="11">
        <v>2580043.25</v>
      </c>
      <c r="P22" s="9">
        <v>2800279.87</v>
      </c>
      <c r="Q22" s="9">
        <v>2956882.7299999995</v>
      </c>
      <c r="R22" s="9">
        <v>2756642.08</v>
      </c>
      <c r="S22" s="9">
        <v>2960040.1799999997</v>
      </c>
      <c r="T22" s="9">
        <v>2742365.7199999997</v>
      </c>
      <c r="U22" s="9">
        <v>2999365.5499999993</v>
      </c>
      <c r="V22" s="9">
        <v>2911307.6500000004</v>
      </c>
      <c r="W22" s="9">
        <v>3271085.3799999994</v>
      </c>
      <c r="X22" s="9">
        <v>3138167.2600000002</v>
      </c>
      <c r="Y22" s="9">
        <v>3234917.27</v>
      </c>
      <c r="Z22" s="34">
        <v>3285348.3800000004</v>
      </c>
      <c r="AA22" s="33">
        <f>SUM(O22:Z22)</f>
        <v>35636445.32</v>
      </c>
      <c r="AB22" s="11">
        <v>3292347.3000000003</v>
      </c>
      <c r="AC22" s="9">
        <v>3933765.8300000005</v>
      </c>
      <c r="AD22" s="34">
        <v>3963172.48</v>
      </c>
      <c r="AE22" s="43">
        <f>SUM(AB22:AD22)</f>
        <v>11189285.610000001</v>
      </c>
    </row>
    <row r="23" spans="1:44" ht="25" customHeight="1" x14ac:dyDescent="0.25">
      <c r="A23" s="14" t="s">
        <v>3</v>
      </c>
      <c r="B23" s="11">
        <v>1652715.89</v>
      </c>
      <c r="C23" s="9">
        <v>1963154.7699999998</v>
      </c>
      <c r="D23" s="9">
        <v>1526293.78</v>
      </c>
      <c r="E23" s="9">
        <v>2300729.9400000004</v>
      </c>
      <c r="F23" s="9">
        <v>1858076.7</v>
      </c>
      <c r="G23" s="9">
        <v>1823683.41</v>
      </c>
      <c r="H23" s="9">
        <v>1926502.96</v>
      </c>
      <c r="I23" s="9">
        <v>1710493.77</v>
      </c>
      <c r="J23" s="9">
        <v>1618207.11</v>
      </c>
      <c r="K23" s="9">
        <v>1843230.49</v>
      </c>
      <c r="L23" s="9">
        <v>1766702.7000000002</v>
      </c>
      <c r="M23" s="34">
        <v>1788481.67</v>
      </c>
      <c r="N23" s="33">
        <f>SUM(B23:M23)</f>
        <v>21778273.189999998</v>
      </c>
      <c r="O23" s="11">
        <v>2067017.2700000003</v>
      </c>
      <c r="P23" s="9">
        <v>1944471.01</v>
      </c>
      <c r="Q23" s="9">
        <v>2028265.64</v>
      </c>
      <c r="R23" s="9">
        <v>2234485.63</v>
      </c>
      <c r="S23" s="9">
        <v>2026541.19</v>
      </c>
      <c r="T23" s="9">
        <v>2318457.9799999995</v>
      </c>
      <c r="U23" s="9">
        <v>2298833.63</v>
      </c>
      <c r="V23" s="9">
        <v>1985831.7000000002</v>
      </c>
      <c r="W23" s="9">
        <v>1742171.31</v>
      </c>
      <c r="X23" s="9">
        <v>2026785.4300000002</v>
      </c>
      <c r="Y23" s="9">
        <v>2078259.71</v>
      </c>
      <c r="Z23" s="34">
        <v>2247365.54</v>
      </c>
      <c r="AA23" s="33">
        <f>SUM(O23:Z23)</f>
        <v>24998486.039999995</v>
      </c>
      <c r="AB23" s="11">
        <v>2230554.5699999998</v>
      </c>
      <c r="AC23" s="9">
        <v>2599721.7000000002</v>
      </c>
      <c r="AD23" s="34">
        <v>2766945.07</v>
      </c>
      <c r="AE23" s="43">
        <f>SUM(AB23:AD23)</f>
        <v>7597221.3399999999</v>
      </c>
    </row>
    <row r="24" spans="1:44" ht="25" customHeight="1" thickBot="1" x14ac:dyDescent="0.3">
      <c r="A24" s="15" t="s">
        <v>4</v>
      </c>
      <c r="B24" s="26">
        <v>1858460.7899999998</v>
      </c>
      <c r="C24" s="27">
        <v>1760372.82</v>
      </c>
      <c r="D24" s="27">
        <v>1618521.85</v>
      </c>
      <c r="E24" s="27">
        <v>6259903.21</v>
      </c>
      <c r="F24" s="27">
        <v>2102793.2599999998</v>
      </c>
      <c r="G24" s="27">
        <v>1738053.43</v>
      </c>
      <c r="H24" s="27">
        <v>1810958.66</v>
      </c>
      <c r="I24" s="27">
        <v>1854276.06</v>
      </c>
      <c r="J24" s="27">
        <v>1763976.69</v>
      </c>
      <c r="K24" s="27">
        <v>2038082.27</v>
      </c>
      <c r="L24" s="27">
        <v>1657760.73</v>
      </c>
      <c r="M24" s="36">
        <v>1690071.4100000001</v>
      </c>
      <c r="N24" s="35">
        <f>SUM(B24:M24)</f>
        <v>26153231.18</v>
      </c>
      <c r="O24" s="28">
        <v>1919674.5100000002</v>
      </c>
      <c r="P24" s="27">
        <v>1928066.5400000003</v>
      </c>
      <c r="Q24" s="27">
        <v>2002944.6500000001</v>
      </c>
      <c r="R24" s="27">
        <v>1881641.03</v>
      </c>
      <c r="S24" s="27">
        <v>1968940.48</v>
      </c>
      <c r="T24" s="27">
        <v>1977835.55</v>
      </c>
      <c r="U24" s="27">
        <v>2068505.6700000002</v>
      </c>
      <c r="V24" s="27">
        <v>2210700.83</v>
      </c>
      <c r="W24" s="27">
        <v>2342013.66</v>
      </c>
      <c r="X24" s="27">
        <v>2441448.1</v>
      </c>
      <c r="Y24" s="27">
        <v>2149501.4700000002</v>
      </c>
      <c r="Z24" s="36">
        <v>2387870.59</v>
      </c>
      <c r="AA24" s="35">
        <f>SUM(O24:Z24)</f>
        <v>25279143.080000002</v>
      </c>
      <c r="AB24" s="28">
        <v>2228291.96</v>
      </c>
      <c r="AC24" s="27">
        <v>2275624.25</v>
      </c>
      <c r="AD24" s="36">
        <v>2608444.4699999997</v>
      </c>
      <c r="AE24" s="44">
        <f>SUM(AB24:AD24)</f>
        <v>7112360.6799999997</v>
      </c>
    </row>
    <row r="25" spans="1:44" ht="25" customHeight="1" thickBot="1" x14ac:dyDescent="0.3">
      <c r="A25" s="23" t="s">
        <v>13</v>
      </c>
      <c r="B25" s="24">
        <v>10162900.23</v>
      </c>
      <c r="C25" s="25">
        <v>10260663.879999999</v>
      </c>
      <c r="D25" s="25">
        <v>9553974.4600000009</v>
      </c>
      <c r="E25" s="25">
        <v>31433293.110000003</v>
      </c>
      <c r="F25" s="25">
        <v>11098722.020000001</v>
      </c>
      <c r="G25" s="25">
        <v>9955026.2899999991</v>
      </c>
      <c r="H25" s="25">
        <v>10306090.310000001</v>
      </c>
      <c r="I25" s="25">
        <v>10186415.770000001</v>
      </c>
      <c r="J25" s="25">
        <v>9362960.5999999996</v>
      </c>
      <c r="K25" s="25">
        <v>11664027.310000001</v>
      </c>
      <c r="L25" s="25">
        <v>9559966.0899999999</v>
      </c>
      <c r="M25" s="38">
        <v>10343999.6</v>
      </c>
      <c r="N25" s="37">
        <f>SUM(B25:M25)</f>
        <v>143888039.67000002</v>
      </c>
      <c r="O25" s="24">
        <v>10482430.819999998</v>
      </c>
      <c r="P25" s="25">
        <v>10720773.220000001</v>
      </c>
      <c r="Q25" s="25">
        <v>10833415.949999999</v>
      </c>
      <c r="R25" s="25">
        <v>10659570.699999999</v>
      </c>
      <c r="S25" s="25">
        <v>11123103.939999999</v>
      </c>
      <c r="T25" s="25">
        <v>10801049.190000001</v>
      </c>
      <c r="U25" s="25">
        <v>11519087.659999998</v>
      </c>
      <c r="V25" s="25">
        <v>10723355.090000002</v>
      </c>
      <c r="W25" s="25">
        <v>11498267.27</v>
      </c>
      <c r="X25" s="25">
        <v>11876126.25</v>
      </c>
      <c r="Y25" s="25">
        <v>11160523.529999999</v>
      </c>
      <c r="Z25" s="40">
        <v>12354629.300000001</v>
      </c>
      <c r="AA25" s="37">
        <f>SUM(O25:Z25)</f>
        <v>133752332.91999999</v>
      </c>
      <c r="AB25" s="24">
        <v>12083961.690000001</v>
      </c>
      <c r="AC25" s="25">
        <v>13305341.780000001</v>
      </c>
      <c r="AD25" s="40">
        <v>14367138.650000002</v>
      </c>
      <c r="AE25" s="45">
        <f>SUM(AB25:AD25)</f>
        <v>39756442.120000005</v>
      </c>
    </row>
    <row r="27" spans="1:44" ht="25" customHeight="1" thickBot="1" x14ac:dyDescent="0.3">
      <c r="A27" s="8" t="s">
        <v>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44" ht="17" thickBot="1" x14ac:dyDescent="0.3">
      <c r="A28" s="13"/>
      <c r="B28" s="20">
        <v>45292</v>
      </c>
      <c r="C28" s="21">
        <v>45323</v>
      </c>
      <c r="D28" s="21">
        <v>45352</v>
      </c>
      <c r="E28" s="21">
        <v>45383</v>
      </c>
      <c r="F28" s="21">
        <v>45413</v>
      </c>
      <c r="G28" s="21">
        <v>45444</v>
      </c>
      <c r="H28" s="21">
        <v>45474</v>
      </c>
      <c r="I28" s="21">
        <v>45505</v>
      </c>
      <c r="J28" s="21">
        <v>45536</v>
      </c>
      <c r="K28" s="21">
        <v>45566</v>
      </c>
      <c r="L28" s="21">
        <v>45597</v>
      </c>
      <c r="M28" s="30">
        <v>45627</v>
      </c>
      <c r="N28" s="29" t="s">
        <v>16</v>
      </c>
      <c r="O28" s="22">
        <v>45658</v>
      </c>
      <c r="P28" s="21">
        <v>45689</v>
      </c>
      <c r="Q28" s="21">
        <v>45717</v>
      </c>
      <c r="R28" s="21">
        <v>45748</v>
      </c>
      <c r="S28" s="21">
        <v>45778</v>
      </c>
      <c r="T28" s="21">
        <v>45809</v>
      </c>
      <c r="U28" s="21">
        <v>45839</v>
      </c>
      <c r="V28" s="21">
        <v>45870</v>
      </c>
      <c r="W28" s="21">
        <v>45901</v>
      </c>
      <c r="X28" s="21">
        <v>45931</v>
      </c>
      <c r="Y28" s="21">
        <v>45962</v>
      </c>
      <c r="Z28" s="30">
        <v>45992</v>
      </c>
      <c r="AA28" s="29" t="s">
        <v>17</v>
      </c>
      <c r="AB28" s="22">
        <v>46023</v>
      </c>
      <c r="AC28" s="21">
        <v>46054</v>
      </c>
      <c r="AD28" s="30">
        <v>46082</v>
      </c>
      <c r="AE28" s="41" t="s">
        <v>18</v>
      </c>
      <c r="AG28"/>
      <c r="AH28"/>
    </row>
    <row r="29" spans="1:44" ht="25" customHeight="1" x14ac:dyDescent="0.25">
      <c r="A29" s="14" t="s">
        <v>1</v>
      </c>
      <c r="B29" s="18">
        <v>96.507722701167467</v>
      </c>
      <c r="C29" s="19">
        <v>94.292062885764977</v>
      </c>
      <c r="D29" s="19">
        <v>98.5086404474728</v>
      </c>
      <c r="E29" s="19">
        <v>434.28418658857709</v>
      </c>
      <c r="F29" s="19">
        <v>111.36470038806392</v>
      </c>
      <c r="G29" s="19">
        <v>92.165173652109118</v>
      </c>
      <c r="H29" s="19">
        <v>93.510323580886904</v>
      </c>
      <c r="I29" s="19">
        <v>89.995015929849103</v>
      </c>
      <c r="J29" s="19">
        <v>85.773412166053518</v>
      </c>
      <c r="K29" s="19">
        <v>106.75170037386874</v>
      </c>
      <c r="L29" s="19">
        <v>84.065282935995072</v>
      </c>
      <c r="M29" s="32">
        <v>95.262770775826084</v>
      </c>
      <c r="N29" s="31">
        <f>SUM(B29:M29)/12</f>
        <v>123.54008270213625</v>
      </c>
      <c r="O29" s="18">
        <v>81.72332771303364</v>
      </c>
      <c r="P29" s="19">
        <v>92.747197849843516</v>
      </c>
      <c r="Q29" s="19">
        <v>83.449694937768726</v>
      </c>
      <c r="R29" s="19">
        <v>86.596139908399707</v>
      </c>
      <c r="S29" s="19">
        <v>91.400198101284516</v>
      </c>
      <c r="T29" s="19">
        <v>80.199546913980598</v>
      </c>
      <c r="U29" s="19">
        <v>106.71894643651001</v>
      </c>
      <c r="V29" s="19">
        <v>84.872501359345293</v>
      </c>
      <c r="W29" s="19">
        <v>87.819600947606219</v>
      </c>
      <c r="X29" s="19">
        <v>90.953120433478986</v>
      </c>
      <c r="Y29" s="19">
        <v>74.703869022736328</v>
      </c>
      <c r="Z29" s="39">
        <v>97.070659725339567</v>
      </c>
      <c r="AA29" s="31">
        <f>SUM(O29:Z29)/12</f>
        <v>88.187900279110579</v>
      </c>
      <c r="AB29" s="18">
        <v>75.033914791375224</v>
      </c>
      <c r="AC29" s="19">
        <v>83.355268434292213</v>
      </c>
      <c r="AD29" s="39">
        <v>92.541890766854678</v>
      </c>
      <c r="AE29" s="42">
        <f>SUM(AA29:AD29)/3</f>
        <v>113.03965809054422</v>
      </c>
    </row>
    <row r="30" spans="1:44" x14ac:dyDescent="0.25">
      <c r="A30" s="14" t="s">
        <v>2</v>
      </c>
      <c r="B30" s="11">
        <v>52.793152241374521</v>
      </c>
      <c r="C30" s="9">
        <v>94.580740748451902</v>
      </c>
      <c r="D30" s="9">
        <v>87.799720747469635</v>
      </c>
      <c r="E30" s="9">
        <v>115.66824280802956</v>
      </c>
      <c r="F30" s="9">
        <v>109.80423039217473</v>
      </c>
      <c r="G30" s="9">
        <v>98.513804351096951</v>
      </c>
      <c r="H30" s="9">
        <v>102.87352016482649</v>
      </c>
      <c r="I30" s="9">
        <v>92.446060075961384</v>
      </c>
      <c r="J30" s="9">
        <v>92.018225626952088</v>
      </c>
      <c r="K30" s="9">
        <v>105.70279792822291</v>
      </c>
      <c r="L30" s="9">
        <v>76.204971671052064</v>
      </c>
      <c r="M30" s="34">
        <v>106.20641618077171</v>
      </c>
      <c r="N30" s="31">
        <f>SUM(B30:M30)/12</f>
        <v>94.550990244698653</v>
      </c>
      <c r="O30" s="11">
        <v>73.235832999779987</v>
      </c>
      <c r="P30" s="9">
        <v>90.324175904105445</v>
      </c>
      <c r="Q30" s="9">
        <v>96.072476454632806</v>
      </c>
      <c r="R30" s="9">
        <v>93.947973860845906</v>
      </c>
      <c r="S30" s="9">
        <v>89.226151728795898</v>
      </c>
      <c r="T30" s="9">
        <v>89.230577988532531</v>
      </c>
      <c r="U30" s="9">
        <v>122.23082805128087</v>
      </c>
      <c r="V30" s="9">
        <v>87.561358657095695</v>
      </c>
      <c r="W30" s="9">
        <v>106.32752946882714</v>
      </c>
      <c r="X30" s="9">
        <v>87.714698267639548</v>
      </c>
      <c r="Y30" s="9">
        <v>96.412501018541434</v>
      </c>
      <c r="Z30" s="34">
        <v>102.81349381119327</v>
      </c>
      <c r="AA30" s="31">
        <f>SUM(O30:Z30)/12</f>
        <v>94.591466517605866</v>
      </c>
      <c r="AB30" s="11">
        <v>65.550963733454338</v>
      </c>
      <c r="AC30" s="9">
        <v>97.430166028409118</v>
      </c>
      <c r="AD30" s="34">
        <v>96.795636741272361</v>
      </c>
      <c r="AE30" s="42">
        <f>SUM(AA30:AD30)/3</f>
        <v>118.12274434024722</v>
      </c>
      <c r="AG30" t="s">
        <v>36</v>
      </c>
      <c r="AH30" t="s">
        <v>35</v>
      </c>
      <c r="AI30" t="s">
        <v>34</v>
      </c>
      <c r="AJ30" t="s">
        <v>33</v>
      </c>
      <c r="AK30" t="s">
        <v>32</v>
      </c>
      <c r="AL30" t="s">
        <v>31</v>
      </c>
      <c r="AM30" t="s">
        <v>30</v>
      </c>
      <c r="AN30" t="s">
        <v>29</v>
      </c>
      <c r="AO30" t="s">
        <v>28</v>
      </c>
      <c r="AP30" t="s">
        <v>26</v>
      </c>
      <c r="AQ30" t="s">
        <v>25</v>
      </c>
      <c r="AR30" t="s">
        <v>27</v>
      </c>
    </row>
    <row r="31" spans="1:44" x14ac:dyDescent="0.25">
      <c r="A31" s="14" t="s">
        <v>3</v>
      </c>
      <c r="B31" s="11">
        <v>97.852921386066924</v>
      </c>
      <c r="C31" s="9">
        <v>106.98831489232903</v>
      </c>
      <c r="D31" s="9">
        <v>88.244996444081593</v>
      </c>
      <c r="E31" s="9">
        <v>121.75255545799864</v>
      </c>
      <c r="F31" s="9">
        <v>98.451846625009736</v>
      </c>
      <c r="G31" s="9">
        <v>103.21491258004501</v>
      </c>
      <c r="H31" s="9">
        <v>113.07835542614326</v>
      </c>
      <c r="I31" s="9">
        <v>95.731754650411489</v>
      </c>
      <c r="J31" s="9">
        <v>86.376316621197958</v>
      </c>
      <c r="K31" s="9">
        <v>93.950133998035852</v>
      </c>
      <c r="L31" s="9">
        <v>85.696852003931028</v>
      </c>
      <c r="M31" s="34">
        <v>91.22441791300723</v>
      </c>
      <c r="N31" s="31">
        <f>SUM(B31:M31)/12</f>
        <v>98.546948166521489</v>
      </c>
      <c r="O31" s="11">
        <v>88.710770661063691</v>
      </c>
      <c r="P31" s="9">
        <v>92.50850222662649</v>
      </c>
      <c r="Q31" s="9">
        <v>85.25569046818633</v>
      </c>
      <c r="R31" s="9">
        <v>103.96984161910909</v>
      </c>
      <c r="S31" s="9">
        <v>77.356485155523501</v>
      </c>
      <c r="T31" s="9">
        <v>101.77590563102028</v>
      </c>
      <c r="U31" s="9">
        <v>135.75187436032485</v>
      </c>
      <c r="V31" s="9">
        <v>109.14029318853267</v>
      </c>
      <c r="W31" s="9">
        <v>84.108073886244384</v>
      </c>
      <c r="X31" s="9">
        <v>85.581160980047315</v>
      </c>
      <c r="Y31" s="9">
        <v>87.0508567473249</v>
      </c>
      <c r="Z31" s="34">
        <v>96.938859058977798</v>
      </c>
      <c r="AA31" s="31">
        <f>SUM(O31:Z31)/12</f>
        <v>95.679026165248459</v>
      </c>
      <c r="AB31" s="11">
        <v>72.624420528769036</v>
      </c>
      <c r="AC31" s="9">
        <v>89.804947127636225</v>
      </c>
      <c r="AD31" s="34">
        <v>107.71150297526721</v>
      </c>
      <c r="AE31" s="42">
        <f>SUM(AA31:AD31)/3</f>
        <v>121.93996559897364</v>
      </c>
      <c r="AG31" s="94">
        <v>1895788</v>
      </c>
      <c r="AH31" s="94">
        <v>2087802</v>
      </c>
      <c r="AI31" s="94">
        <v>1982382</v>
      </c>
      <c r="AJ31" s="94">
        <v>1909280</v>
      </c>
      <c r="AK31" s="94">
        <v>2004906</v>
      </c>
      <c r="AL31" s="94">
        <v>1879580</v>
      </c>
      <c r="AM31" s="94">
        <v>1984574</v>
      </c>
      <c r="AN31" s="94">
        <v>2036788</v>
      </c>
      <c r="AO31" s="94">
        <v>2079030</v>
      </c>
      <c r="AP31" s="94">
        <v>2012288</v>
      </c>
      <c r="AQ31" s="94">
        <v>2209660</v>
      </c>
      <c r="AR31" s="94">
        <v>1954210</v>
      </c>
    </row>
    <row r="32" spans="1:44" ht="25" customHeight="1" thickBot="1" x14ac:dyDescent="0.3">
      <c r="A32" s="15" t="s">
        <v>4</v>
      </c>
      <c r="B32" s="26">
        <v>89.63222247849653</v>
      </c>
      <c r="C32" s="27">
        <v>88.418217513951447</v>
      </c>
      <c r="D32" s="27">
        <v>90.891804418258076</v>
      </c>
      <c r="E32" s="27">
        <v>314.85962538619634</v>
      </c>
      <c r="F32" s="27">
        <v>78.564480367488656</v>
      </c>
      <c r="G32" s="27">
        <v>85.253696631103608</v>
      </c>
      <c r="H32" s="27">
        <v>88.743028043275302</v>
      </c>
      <c r="I32" s="27">
        <v>85.081191827656767</v>
      </c>
      <c r="J32" s="27">
        <v>88.733720926073772</v>
      </c>
      <c r="K32" s="27">
        <v>98.47160506150675</v>
      </c>
      <c r="L32" s="27">
        <v>76.252935368278514</v>
      </c>
      <c r="M32" s="36">
        <v>85.146077264543223</v>
      </c>
      <c r="N32" s="90">
        <f>SUM(B32:M32)/12</f>
        <v>105.8373837739024</v>
      </c>
      <c r="O32" s="28">
        <v>78.612578938057041</v>
      </c>
      <c r="P32" s="27">
        <v>87.803403742690392</v>
      </c>
      <c r="Q32" s="27">
        <v>94.675994361163177</v>
      </c>
      <c r="R32" s="27">
        <v>90.850781733264938</v>
      </c>
      <c r="S32" s="27">
        <v>89.855417395822741</v>
      </c>
      <c r="T32" s="27">
        <v>85.248427741525916</v>
      </c>
      <c r="U32" s="27">
        <v>111.24486350367957</v>
      </c>
      <c r="V32" s="27">
        <v>97.329320462850816</v>
      </c>
      <c r="W32" s="27">
        <v>105.1989848078684</v>
      </c>
      <c r="X32" s="27">
        <v>109.267942259202</v>
      </c>
      <c r="Y32" s="27">
        <v>94.539336451743878</v>
      </c>
      <c r="Z32" s="36">
        <v>109.94666722103416</v>
      </c>
      <c r="AA32" s="90">
        <f>SUM(O32:Z32)/12</f>
        <v>96.21447655157526</v>
      </c>
      <c r="AB32" s="28">
        <v>79.681793758328752</v>
      </c>
      <c r="AC32" s="27">
        <v>87.201529638627989</v>
      </c>
      <c r="AD32" s="36">
        <v>99.511148942302711</v>
      </c>
      <c r="AE32" s="92">
        <f>SUM(AA32:AD32)/3</f>
        <v>120.86964963027826</v>
      </c>
      <c r="AG32"/>
      <c r="AH32"/>
      <c r="AI32"/>
    </row>
    <row r="33" spans="1:35" ht="25" customHeight="1" thickBot="1" x14ac:dyDescent="0.3">
      <c r="A33" s="23" t="s">
        <v>13</v>
      </c>
      <c r="B33" s="24">
        <v>80.307054885438163</v>
      </c>
      <c r="C33" s="25">
        <v>95.442349504664406</v>
      </c>
      <c r="D33" s="25">
        <v>92.649242495140356</v>
      </c>
      <c r="E33" s="25">
        <v>281.11231062652678</v>
      </c>
      <c r="F33" s="25">
        <v>100.82149602942492</v>
      </c>
      <c r="G33" s="25">
        <v>94.284261910073468</v>
      </c>
      <c r="H33" s="25">
        <v>98.019718586959954</v>
      </c>
      <c r="I33" s="25">
        <v>90.574102603527933</v>
      </c>
      <c r="J33" s="25">
        <v>87.986189656620851</v>
      </c>
      <c r="K33" s="25">
        <v>102.77905308694055</v>
      </c>
      <c r="L33" s="25">
        <v>80.825541225405885</v>
      </c>
      <c r="M33" s="38">
        <v>95.326856418142341</v>
      </c>
      <c r="N33" s="91">
        <f>SUM(B33:M33)/12</f>
        <v>108.34401475240547</v>
      </c>
      <c r="O33" s="24">
        <v>80.102103105161021</v>
      </c>
      <c r="P33" s="25">
        <v>91.142981169014575</v>
      </c>
      <c r="Q33" s="25">
        <v>88.941874370405642</v>
      </c>
      <c r="R33" s="25">
        <v>92.471049455702385</v>
      </c>
      <c r="S33" s="25">
        <v>87.665356188631179</v>
      </c>
      <c r="T33" s="25">
        <v>87.367898888566245</v>
      </c>
      <c r="U33" s="25">
        <v>116.38227496588928</v>
      </c>
      <c r="V33" s="25">
        <v>91.84337760592544</v>
      </c>
      <c r="W33" s="25">
        <v>95.092509417832744</v>
      </c>
      <c r="X33" s="25">
        <v>92.243533945751267</v>
      </c>
      <c r="Y33" s="25">
        <v>86.072911542147978</v>
      </c>
      <c r="Z33" s="40">
        <v>100.82551595153998</v>
      </c>
      <c r="AA33" s="91">
        <f>SUM(O33:Z33)/12</f>
        <v>92.512615550547309</v>
      </c>
      <c r="AB33" s="24">
        <v>72.511745967981327</v>
      </c>
      <c r="AC33" s="25">
        <v>89.082075448516278</v>
      </c>
      <c r="AD33" s="40">
        <v>97.614011344776131</v>
      </c>
      <c r="AE33" s="93">
        <f>SUM(AA33:AD33)/3</f>
        <v>117.24014943727367</v>
      </c>
      <c r="AG33"/>
      <c r="AH33"/>
      <c r="AI33"/>
    </row>
    <row r="34" spans="1:35" x14ac:dyDescent="0.25">
      <c r="AG34"/>
      <c r="AH34"/>
      <c r="AI34"/>
    </row>
    <row r="35" spans="1:35" ht="25" customHeight="1" thickBot="1" x14ac:dyDescent="0.3">
      <c r="A35" s="8" t="s">
        <v>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G35"/>
      <c r="AH35"/>
      <c r="AI35"/>
    </row>
    <row r="36" spans="1:35" ht="25" customHeight="1" thickBot="1" x14ac:dyDescent="0.3">
      <c r="A36" s="13"/>
      <c r="B36" s="20">
        <v>45292</v>
      </c>
      <c r="C36" s="21">
        <v>45323</v>
      </c>
      <c r="D36" s="21">
        <v>45352</v>
      </c>
      <c r="E36" s="21">
        <v>45383</v>
      </c>
      <c r="F36" s="21">
        <v>45413</v>
      </c>
      <c r="G36" s="21">
        <v>45444</v>
      </c>
      <c r="H36" s="21">
        <v>45474</v>
      </c>
      <c r="I36" s="21">
        <v>45505</v>
      </c>
      <c r="J36" s="21">
        <v>45536</v>
      </c>
      <c r="K36" s="21">
        <v>45566</v>
      </c>
      <c r="L36" s="21">
        <v>45597</v>
      </c>
      <c r="M36" s="30">
        <v>45627</v>
      </c>
      <c r="N36" s="29" t="s">
        <v>16</v>
      </c>
      <c r="O36" s="22">
        <v>45658</v>
      </c>
      <c r="P36" s="21">
        <v>45689</v>
      </c>
      <c r="Q36" s="21">
        <v>45717</v>
      </c>
      <c r="R36" s="21">
        <v>45748</v>
      </c>
      <c r="S36" s="21">
        <v>45778</v>
      </c>
      <c r="T36" s="21">
        <v>45809</v>
      </c>
      <c r="U36" s="21">
        <v>45839</v>
      </c>
      <c r="V36" s="21">
        <v>45870</v>
      </c>
      <c r="W36" s="21">
        <v>45901</v>
      </c>
      <c r="X36" s="21">
        <v>45931</v>
      </c>
      <c r="Y36" s="21">
        <v>45962</v>
      </c>
      <c r="Z36" s="30">
        <v>45992</v>
      </c>
      <c r="AA36" s="29" t="s">
        <v>17</v>
      </c>
      <c r="AB36" s="22">
        <v>46023</v>
      </c>
      <c r="AC36" s="21">
        <v>46054</v>
      </c>
      <c r="AD36" s="30">
        <v>46082</v>
      </c>
      <c r="AE36" s="41" t="s">
        <v>18</v>
      </c>
      <c r="AG36"/>
      <c r="AH36"/>
      <c r="AI36"/>
    </row>
    <row r="37" spans="1:35" ht="25" customHeight="1" x14ac:dyDescent="0.25">
      <c r="A37" s="14" t="s">
        <v>1</v>
      </c>
      <c r="B37" s="18">
        <v>39239075.180000007</v>
      </c>
      <c r="C37" s="19">
        <v>39490971.270000018</v>
      </c>
      <c r="D37" s="19">
        <v>39579858.410000011</v>
      </c>
      <c r="E37" s="19">
        <v>24407550.989999998</v>
      </c>
      <c r="F37" s="19">
        <v>23877268.219999999</v>
      </c>
      <c r="G37" s="19">
        <v>24197337.43</v>
      </c>
      <c r="H37" s="19">
        <v>24440417.52</v>
      </c>
      <c r="I37" s="19">
        <v>24860111.239999998</v>
      </c>
      <c r="J37" s="19">
        <v>24788662.359999999</v>
      </c>
      <c r="K37" s="19">
        <v>24354197.41</v>
      </c>
      <c r="L37" s="19">
        <v>25053499.250000004</v>
      </c>
      <c r="M37" s="32">
        <v>25210342.16</v>
      </c>
      <c r="N37" s="31">
        <f>SUM(B37:M37)</f>
        <v>339499291.44000012</v>
      </c>
      <c r="O37" s="18">
        <v>26004312.260000002</v>
      </c>
      <c r="P37" s="19">
        <v>26310957.890000001</v>
      </c>
      <c r="Q37" s="19">
        <v>27050344.27</v>
      </c>
      <c r="R37" s="19">
        <v>27637190.920000002</v>
      </c>
      <c r="S37" s="19">
        <v>28010075.589999996</v>
      </c>
      <c r="T37" s="19">
        <v>28935999.359999999</v>
      </c>
      <c r="U37" s="19">
        <v>28623481.880000003</v>
      </c>
      <c r="V37" s="19">
        <v>29220232.959999997</v>
      </c>
      <c r="W37" s="19">
        <v>29740317.41</v>
      </c>
      <c r="X37" s="19">
        <v>30085833.18</v>
      </c>
      <c r="Y37" s="19">
        <v>31314605.550000001</v>
      </c>
      <c r="Z37" s="39">
        <v>31388235.77</v>
      </c>
      <c r="AA37" s="31">
        <f>SUM(O37:Z37)</f>
        <v>344321587.04000002</v>
      </c>
      <c r="AB37" s="18">
        <v>32806895.070000004</v>
      </c>
      <c r="AC37" s="19">
        <v>33619689.769999996</v>
      </c>
      <c r="AD37" s="39">
        <v>33976662.379999995</v>
      </c>
      <c r="AE37" s="42">
        <f>SUM(AB37:AD37)</f>
        <v>100403247.22</v>
      </c>
      <c r="AG37"/>
      <c r="AH37"/>
      <c r="AI37"/>
    </row>
    <row r="38" spans="1:35" ht="25" customHeight="1" x14ac:dyDescent="0.25">
      <c r="A38" s="14" t="s">
        <v>2</v>
      </c>
      <c r="B38" s="11">
        <v>18962035.59</v>
      </c>
      <c r="C38" s="9">
        <v>19100412.339999996</v>
      </c>
      <c r="D38" s="9">
        <v>19409777.680000003</v>
      </c>
      <c r="E38" s="9">
        <v>18939210.489999998</v>
      </c>
      <c r="F38" s="9">
        <v>18637452.93</v>
      </c>
      <c r="G38" s="9">
        <v>18659172.170000002</v>
      </c>
      <c r="H38" s="9">
        <v>18389678.610000003</v>
      </c>
      <c r="I38" s="9">
        <v>18571323.800000001</v>
      </c>
      <c r="J38" s="9">
        <v>18033570.740000002</v>
      </c>
      <c r="K38" s="9">
        <v>16266109.34</v>
      </c>
      <c r="L38" s="9">
        <v>17006520.25</v>
      </c>
      <c r="M38" s="34">
        <v>16804269.16</v>
      </c>
      <c r="N38" s="33">
        <f>SUM(B38:M38)</f>
        <v>218779533.10000002</v>
      </c>
      <c r="O38" s="11">
        <v>17670451.289999995</v>
      </c>
      <c r="P38" s="9">
        <v>17957953.940000001</v>
      </c>
      <c r="Q38" s="9">
        <v>18037969.210000001</v>
      </c>
      <c r="R38" s="9">
        <v>18204803.330000002</v>
      </c>
      <c r="S38" s="9">
        <v>18502302</v>
      </c>
      <c r="T38" s="9">
        <v>18808851.430000003</v>
      </c>
      <c r="U38" s="9">
        <v>18246481.869999997</v>
      </c>
      <c r="V38" s="9">
        <v>18653102.770000003</v>
      </c>
      <c r="W38" s="9">
        <v>18457775.900000002</v>
      </c>
      <c r="X38" s="9">
        <v>18841032.84</v>
      </c>
      <c r="Y38" s="9">
        <v>18910252.670000002</v>
      </c>
      <c r="Z38" s="34">
        <v>18776869.859999999</v>
      </c>
      <c r="AA38" s="33">
        <f>SUM(O38:Z38)</f>
        <v>221067847.11000001</v>
      </c>
      <c r="AB38" s="11">
        <v>20582578.940000001</v>
      </c>
      <c r="AC38" s="9">
        <v>20679804.999999996</v>
      </c>
      <c r="AD38" s="34">
        <v>20781617.510000002</v>
      </c>
      <c r="AE38" s="43">
        <f>SUM(AB38:AD38)</f>
        <v>62044001.450000003</v>
      </c>
      <c r="AG38"/>
      <c r="AH38"/>
      <c r="AI38"/>
    </row>
    <row r="39" spans="1:35" ht="25" customHeight="1" x14ac:dyDescent="0.25">
      <c r="A39" s="14" t="s">
        <v>3</v>
      </c>
      <c r="B39" s="11">
        <v>8502870.3900000006</v>
      </c>
      <c r="C39" s="9">
        <v>8570483.9099999983</v>
      </c>
      <c r="D39" s="9">
        <v>8932355.1300000008</v>
      </c>
      <c r="E39" s="9">
        <v>8509153.7100000009</v>
      </c>
      <c r="F39" s="9">
        <v>8533332.4900000002</v>
      </c>
      <c r="G39" s="9">
        <v>8528929.1199999992</v>
      </c>
      <c r="H39" s="9">
        <v>8254725.459999999</v>
      </c>
      <c r="I39" s="9">
        <v>8322729.9799999995</v>
      </c>
      <c r="J39" s="9">
        <v>8589107.8900000006</v>
      </c>
      <c r="K39" s="9">
        <v>8698364.25</v>
      </c>
      <c r="L39" s="9">
        <v>8984701.9199999981</v>
      </c>
      <c r="M39" s="34">
        <v>9152298.3699999992</v>
      </c>
      <c r="N39" s="33">
        <f>SUM(B39:M39)</f>
        <v>103579052.62</v>
      </c>
      <c r="O39" s="11">
        <v>9413056.1500000004</v>
      </c>
      <c r="P39" s="9">
        <v>9566071.3299999982</v>
      </c>
      <c r="Q39" s="9">
        <v>9910450.9900000002</v>
      </c>
      <c r="R39" s="9">
        <v>9820681.0299999993</v>
      </c>
      <c r="S39" s="9">
        <v>10409253.000000002</v>
      </c>
      <c r="T39" s="9">
        <v>10360858.23</v>
      </c>
      <c r="U39" s="9">
        <v>9750803.0399999991</v>
      </c>
      <c r="V39" s="9">
        <v>9579863.4400000013</v>
      </c>
      <c r="W39" s="9">
        <v>9903410.660000002</v>
      </c>
      <c r="X39" s="9">
        <v>10214238.909999998</v>
      </c>
      <c r="Y39" s="9">
        <v>10518757.93</v>
      </c>
      <c r="Z39" s="34">
        <v>10578155.869999999</v>
      </c>
      <c r="AA39" s="33">
        <f>SUM(O39:Z39)</f>
        <v>120025600.58000001</v>
      </c>
      <c r="AB39" s="11">
        <v>11419318.029999999</v>
      </c>
      <c r="AC39" s="9">
        <v>11709148.519999998</v>
      </c>
      <c r="AD39" s="34">
        <v>11505744.82</v>
      </c>
      <c r="AE39" s="43">
        <f>SUM(AB39:AD39)</f>
        <v>34634211.369999997</v>
      </c>
      <c r="AG39"/>
      <c r="AH39"/>
      <c r="AI39"/>
    </row>
    <row r="40" spans="1:35" ht="25" customHeight="1" thickBot="1" x14ac:dyDescent="0.3">
      <c r="A40" s="15" t="s">
        <v>4</v>
      </c>
      <c r="B40" s="26">
        <v>17286793.390000001</v>
      </c>
      <c r="C40" s="27">
        <v>17477102.929999996</v>
      </c>
      <c r="D40" s="27">
        <v>17576922.949999999</v>
      </c>
      <c r="E40" s="27">
        <v>13218138.460000001</v>
      </c>
      <c r="F40" s="27">
        <v>13752395.859999998</v>
      </c>
      <c r="G40" s="27">
        <v>14022611.08</v>
      </c>
      <c r="H40" s="27">
        <v>14168318.119999999</v>
      </c>
      <c r="I40" s="27">
        <v>14382266.35</v>
      </c>
      <c r="J40" s="27">
        <v>13955426.909999998</v>
      </c>
      <c r="K40" s="27">
        <v>13983670.560000001</v>
      </c>
      <c r="L40" s="27">
        <v>14432494.43</v>
      </c>
      <c r="M40" s="36">
        <v>14708786.34</v>
      </c>
      <c r="N40" s="35">
        <f>SUM(B40:M40)</f>
        <v>178964927.38</v>
      </c>
      <c r="O40" s="28">
        <v>15244221.840000002</v>
      </c>
      <c r="P40" s="27">
        <v>15453100.1</v>
      </c>
      <c r="Q40" s="27">
        <v>15506664.58</v>
      </c>
      <c r="R40" s="27">
        <v>15654544.790000003</v>
      </c>
      <c r="S40" s="27">
        <v>15872051.720000001</v>
      </c>
      <c r="T40" s="27">
        <v>16140633.619999999</v>
      </c>
      <c r="U40" s="27">
        <v>15903210.029999999</v>
      </c>
      <c r="V40" s="27">
        <v>15898213.82</v>
      </c>
      <c r="W40" s="27">
        <v>15774372.48</v>
      </c>
      <c r="X40" s="27">
        <v>15544089</v>
      </c>
      <c r="Y40" s="27">
        <v>15656782.34</v>
      </c>
      <c r="Z40" s="36">
        <v>15411865.109999999</v>
      </c>
      <c r="AA40" s="35">
        <f>SUM(O40:Z40)</f>
        <v>188059749.43000001</v>
      </c>
      <c r="AB40" s="28">
        <v>15950751.140000002</v>
      </c>
      <c r="AC40" s="27">
        <v>16280085.569999998</v>
      </c>
      <c r="AD40" s="36">
        <v>16287159.18</v>
      </c>
      <c r="AE40" s="44">
        <f>SUM(AB40:AD40)</f>
        <v>48517995.890000001</v>
      </c>
      <c r="AG40"/>
      <c r="AH40"/>
      <c r="AI40"/>
    </row>
    <row r="41" spans="1:35" ht="25" customHeight="1" thickBot="1" x14ac:dyDescent="0.3">
      <c r="A41" s="23" t="s">
        <v>13</v>
      </c>
      <c r="B41" s="24">
        <v>83990774.550000012</v>
      </c>
      <c r="C41" s="25">
        <v>84638970.450000003</v>
      </c>
      <c r="D41" s="25">
        <v>85498914.170000017</v>
      </c>
      <c r="E41" s="25">
        <v>65074053.649999999</v>
      </c>
      <c r="F41" s="25">
        <v>64800449.5</v>
      </c>
      <c r="G41" s="25">
        <v>65408049.799999997</v>
      </c>
      <c r="H41" s="25">
        <v>65253139.710000001</v>
      </c>
      <c r="I41" s="25">
        <v>66136431.369999997</v>
      </c>
      <c r="J41" s="25">
        <v>65366767.899999999</v>
      </c>
      <c r="K41" s="25">
        <v>63302341.560000002</v>
      </c>
      <c r="L41" s="25">
        <v>65477215.850000001</v>
      </c>
      <c r="M41" s="38">
        <v>65875696.030000001</v>
      </c>
      <c r="N41" s="37">
        <f>SUM(B41:M41)</f>
        <v>840822804.53999984</v>
      </c>
      <c r="O41" s="24">
        <v>68332041.539999992</v>
      </c>
      <c r="P41" s="25">
        <v>69288083.25999999</v>
      </c>
      <c r="Q41" s="25">
        <v>70505429.050000012</v>
      </c>
      <c r="R41" s="25">
        <v>71317220.070000008</v>
      </c>
      <c r="S41" s="25">
        <v>72793682.310000002</v>
      </c>
      <c r="T41" s="25">
        <v>74246342.640000015</v>
      </c>
      <c r="U41" s="25">
        <v>72523976.819999993</v>
      </c>
      <c r="V41" s="25">
        <v>73351412.99000001</v>
      </c>
      <c r="W41" s="25">
        <v>73875876.450000003</v>
      </c>
      <c r="X41" s="25">
        <v>74685193.929999992</v>
      </c>
      <c r="Y41" s="25">
        <v>76400398.489999995</v>
      </c>
      <c r="Z41" s="40">
        <v>76155126.609999985</v>
      </c>
      <c r="AA41" s="37">
        <f>SUM(O41:Z41)</f>
        <v>873474784.16000009</v>
      </c>
      <c r="AB41" s="24">
        <v>80759543.180000007</v>
      </c>
      <c r="AC41" s="25">
        <v>82288728.859999985</v>
      </c>
      <c r="AD41" s="40">
        <v>82551183.890000001</v>
      </c>
      <c r="AE41" s="45">
        <f>SUM(AB41:AD41)</f>
        <v>245599455.93000001</v>
      </c>
      <c r="AG41"/>
      <c r="AH41"/>
      <c r="AI41"/>
    </row>
    <row r="42" spans="1:35" x14ac:dyDescent="0.25">
      <c r="AG42"/>
      <c r="AH42"/>
      <c r="AI42"/>
    </row>
    <row r="43" spans="1:35" ht="25" customHeight="1" thickBot="1" x14ac:dyDescent="0.3">
      <c r="A43" s="7" t="s">
        <v>14</v>
      </c>
      <c r="AG43"/>
      <c r="AH43"/>
      <c r="AI43"/>
    </row>
    <row r="44" spans="1:35" ht="25" customHeight="1" thickBot="1" x14ac:dyDescent="0.3">
      <c r="A44" s="13"/>
      <c r="B44" s="20">
        <v>45292</v>
      </c>
      <c r="C44" s="21">
        <v>45323</v>
      </c>
      <c r="D44" s="21">
        <v>45352</v>
      </c>
      <c r="E44" s="21">
        <v>45383</v>
      </c>
      <c r="F44" s="21">
        <v>45413</v>
      </c>
      <c r="G44" s="21">
        <v>45444</v>
      </c>
      <c r="H44" s="21">
        <v>45474</v>
      </c>
      <c r="I44" s="21">
        <v>45505</v>
      </c>
      <c r="J44" s="21">
        <v>45536</v>
      </c>
      <c r="K44" s="21">
        <v>45566</v>
      </c>
      <c r="L44" s="21">
        <v>45597</v>
      </c>
      <c r="M44" s="30">
        <v>45627</v>
      </c>
      <c r="N44" s="29" t="s">
        <v>16</v>
      </c>
      <c r="O44" s="22">
        <v>45658</v>
      </c>
      <c r="P44" s="21">
        <v>45689</v>
      </c>
      <c r="Q44" s="21">
        <v>45717</v>
      </c>
      <c r="R44" s="21">
        <v>45748</v>
      </c>
      <c r="S44" s="21">
        <v>45778</v>
      </c>
      <c r="T44" s="21">
        <v>45809</v>
      </c>
      <c r="U44" s="21">
        <v>45839</v>
      </c>
      <c r="V44" s="21">
        <v>45870</v>
      </c>
      <c r="W44" s="21">
        <v>45901</v>
      </c>
      <c r="X44" s="21">
        <v>45931</v>
      </c>
      <c r="Y44" s="21">
        <v>45962</v>
      </c>
      <c r="Z44" s="30">
        <v>45992</v>
      </c>
      <c r="AA44" s="29" t="s">
        <v>17</v>
      </c>
      <c r="AB44" s="22">
        <v>46023</v>
      </c>
      <c r="AC44" s="21">
        <v>46054</v>
      </c>
      <c r="AD44" s="30">
        <v>46082</v>
      </c>
      <c r="AE44" s="41" t="s">
        <v>18</v>
      </c>
      <c r="AG44"/>
      <c r="AH44"/>
      <c r="AI44"/>
    </row>
    <row r="45" spans="1:35" ht="25" customHeight="1" x14ac:dyDescent="0.25">
      <c r="A45" s="14" t="s">
        <v>1</v>
      </c>
      <c r="B45" s="46">
        <f>'Billing &amp; Collection'!B13/'Billing &amp; Collection'!B5</f>
        <v>10.861473240605282</v>
      </c>
      <c r="C45" s="75">
        <f>'Billing &amp; Collection'!C13/'Billing &amp; Collection'!C5</f>
        <v>10.738026254349366</v>
      </c>
      <c r="D45" s="75">
        <f>'Billing &amp; Collection'!D13/'Billing &amp; Collection'!D5</f>
        <v>10.713878670056328</v>
      </c>
      <c r="E45" s="75">
        <f>'Billing &amp; Collection'!E13/'Billing &amp; Collection'!E5</f>
        <v>10.8878968975469</v>
      </c>
      <c r="F45" s="75">
        <f>'Billing &amp; Collection'!F13/'Billing &amp; Collection'!F5</f>
        <v>10.724849203392548</v>
      </c>
      <c r="G45" s="75">
        <f>'Billing &amp; Collection'!G13/'Billing &amp; Collection'!G5</f>
        <v>10.664825972750963</v>
      </c>
      <c r="H45" s="75">
        <f>'Billing &amp; Collection'!H13/'Billing &amp; Collection'!H5</f>
        <v>11.286104647748203</v>
      </c>
      <c r="I45" s="75">
        <f>'Billing &amp; Collection'!I13/'Billing &amp; Collection'!I5</f>
        <v>11.291482106538579</v>
      </c>
      <c r="J45" s="75">
        <f>'Billing &amp; Collection'!J13/'Billing &amp; Collection'!J5</f>
        <v>11.200976907440031</v>
      </c>
      <c r="K45" s="75">
        <f>'Billing &amp; Collection'!K13/'Billing &amp; Collection'!K5</f>
        <v>11.507159979467451</v>
      </c>
      <c r="L45" s="75">
        <f>'Billing &amp; Collection'!L13/'Billing &amp; Collection'!L5</f>
        <v>11.458432830632724</v>
      </c>
      <c r="M45" s="76">
        <f>'Billing &amp; Collection'!M13/'Billing &amp; Collection'!M5</f>
        <v>11.392822086052734</v>
      </c>
      <c r="N45" s="62">
        <f>(SUM(B45:M45)/12)</f>
        <v>11.060660733048428</v>
      </c>
      <c r="O45" s="46">
        <f>'Billing &amp; Collection'!O13/'Billing &amp; Collection'!O5</f>
        <v>11.268962806865698</v>
      </c>
      <c r="P45" s="75">
        <f>'Billing &amp; Collection'!P13/'Billing &amp; Collection'!P5</f>
        <v>11.491072516501369</v>
      </c>
      <c r="Q45" s="75">
        <f>'Billing &amp; Collection'!Q13/'Billing &amp; Collection'!Q5</f>
        <v>11.25749896780782</v>
      </c>
      <c r="R45" s="75">
        <f>'Billing &amp; Collection'!R13/'Billing &amp; Collection'!R5</f>
        <v>11.449599272117931</v>
      </c>
      <c r="S45" s="75">
        <f>'Billing &amp; Collection'!S13/'Billing &amp; Collection'!S5</f>
        <v>11.829110139701401</v>
      </c>
      <c r="T45" s="75">
        <f>'Billing &amp; Collection'!T13/'Billing &amp; Collection'!T5</f>
        <v>11.803520913427667</v>
      </c>
      <c r="U45" s="75">
        <f>'Billing &amp; Collection'!U13/'Billing &amp; Collection'!U5</f>
        <v>11.907274023704673</v>
      </c>
      <c r="V45" s="75">
        <f>'Billing &amp; Collection'!V13/'Billing &amp; Collection'!V5</f>
        <v>11.912408355587869</v>
      </c>
      <c r="W45" s="75">
        <f>'Billing &amp; Collection'!W13/'Billing &amp; Collection'!W5</f>
        <v>11.874120415993973</v>
      </c>
      <c r="X45" s="75">
        <f>'Billing &amp; Collection'!X13/'Billing &amp; Collection'!X5</f>
        <v>11.828709315715342</v>
      </c>
      <c r="Y45" s="75">
        <f>'Billing &amp; Collection'!Y13/'Billing &amp; Collection'!Y5</f>
        <v>11.848579536206351</v>
      </c>
      <c r="Z45" s="77">
        <f>'Billing &amp; Collection'!Z13/'Billing &amp; Collection'!Z5</f>
        <v>11.771117416043046</v>
      </c>
      <c r="AA45" s="62">
        <f>SUM(O45:Z45)/12</f>
        <v>11.68683113997276</v>
      </c>
      <c r="AB45" s="46">
        <f>'Billing &amp; Collection'!AB13/'Billing &amp; Collection'!AB5</f>
        <v>13.576439342998073</v>
      </c>
      <c r="AC45" s="75">
        <f>'Billing &amp; Collection'!AC13/'Billing &amp; Collection'!AC5</f>
        <v>13.746565738940298</v>
      </c>
      <c r="AD45" s="77">
        <f>'Billing &amp; Collection'!AD13/'Billing &amp; Collection'!AD5</f>
        <v>13.946364238342609</v>
      </c>
      <c r="AE45" s="67">
        <f>SUM(AB45:AD45)/3</f>
        <v>13.756456440093659</v>
      </c>
      <c r="AG45"/>
      <c r="AH45"/>
      <c r="AI45"/>
    </row>
    <row r="46" spans="1:35" ht="25" customHeight="1" x14ac:dyDescent="0.25">
      <c r="A46" s="14" t="s">
        <v>2</v>
      </c>
      <c r="B46" s="78">
        <f>'Billing &amp; Collection'!B14/'Billing &amp; Collection'!B6</f>
        <v>12.534631568788303</v>
      </c>
      <c r="C46" s="10">
        <f>'Billing &amp; Collection'!C14/'Billing &amp; Collection'!C6</f>
        <v>9.8045826605436623</v>
      </c>
      <c r="D46" s="10">
        <f>'Billing &amp; Collection'!D14/'Billing &amp; Collection'!D6</f>
        <v>9.7048174702925039</v>
      </c>
      <c r="E46" s="10">
        <f>'Billing &amp; Collection'!E14/'Billing &amp; Collection'!E6</f>
        <v>9.8154951165281563</v>
      </c>
      <c r="F46" s="10">
        <f>'Billing &amp; Collection'!F14/'Billing &amp; Collection'!F6</f>
        <v>9.8041260194479296</v>
      </c>
      <c r="G46" s="10">
        <f>'Billing &amp; Collection'!G14/'Billing &amp; Collection'!G6</f>
        <v>9.8083565510802693</v>
      </c>
      <c r="H46" s="10">
        <f>'Billing &amp; Collection'!H14/'Billing &amp; Collection'!H6</f>
        <v>10.304503293273616</v>
      </c>
      <c r="I46" s="10">
        <f>'Billing &amp; Collection'!I14/'Billing &amp; Collection'!I6</f>
        <v>10.256926056007904</v>
      </c>
      <c r="J46" s="10">
        <f>'Billing &amp; Collection'!J14/'Billing &amp; Collection'!J6</f>
        <v>10.312501606815234</v>
      </c>
      <c r="K46" s="10">
        <f>'Billing &amp; Collection'!K14/'Billing &amp; Collection'!K6</f>
        <v>10.488099952980676</v>
      </c>
      <c r="L46" s="10">
        <f>'Billing &amp; Collection'!L14/'Billing &amp; Collection'!L6</f>
        <v>10.47550498904843</v>
      </c>
      <c r="M46" s="79">
        <f>'Billing &amp; Collection'!M14/'Billing &amp; Collection'!M6</f>
        <v>10.499038481560087</v>
      </c>
      <c r="N46" s="80">
        <f>(SUM(B46:M46)/12)</f>
        <v>10.317381980530564</v>
      </c>
      <c r="O46" s="78">
        <f>'Billing &amp; Collection'!O14/'Billing &amp; Collection'!O6</f>
        <v>10.442905756911939</v>
      </c>
      <c r="P46" s="10">
        <f>'Billing &amp; Collection'!P14/'Billing &amp; Collection'!P6</f>
        <v>10.599054026796306</v>
      </c>
      <c r="Q46" s="10">
        <f>'Billing &amp; Collection'!Q14/'Billing &amp; Collection'!Q6</f>
        <v>10.627523126486951</v>
      </c>
      <c r="R46" s="10">
        <f>'Billing &amp; Collection'!R14/'Billing &amp; Collection'!R6</f>
        <v>10.759771472994428</v>
      </c>
      <c r="S46" s="10">
        <f>'Billing &amp; Collection'!S14/'Billing &amp; Collection'!S6</f>
        <v>11.11838110303778</v>
      </c>
      <c r="T46" s="10">
        <f>'Billing &amp; Collection'!T14/'Billing &amp; Collection'!T6</f>
        <v>10.983576459992925</v>
      </c>
      <c r="U46" s="10">
        <f>'Billing &amp; Collection'!U14/'Billing &amp; Collection'!U6</f>
        <v>11.074895766104463</v>
      </c>
      <c r="V46" s="10">
        <f>'Billing &amp; Collection'!V14/'Billing &amp; Collection'!V6</f>
        <v>11.066987537945359</v>
      </c>
      <c r="W46" s="10">
        <f>'Billing &amp; Collection'!W14/'Billing &amp; Collection'!W6</f>
        <v>11.164423057382164</v>
      </c>
      <c r="X46" s="10">
        <f>'Billing &amp; Collection'!X14/'Billing &amp; Collection'!X6</f>
        <v>11.127728638433403</v>
      </c>
      <c r="Y46" s="10">
        <f>'Billing &amp; Collection'!Y14/'Billing &amp; Collection'!Y6</f>
        <v>10.978160735260916</v>
      </c>
      <c r="Z46" s="79">
        <f>'Billing &amp; Collection'!Z14/'Billing &amp; Collection'!Z6</f>
        <v>11.259217496397198</v>
      </c>
      <c r="AA46" s="80">
        <f>SUM(O46:Z46)/12</f>
        <v>10.93355209814532</v>
      </c>
      <c r="AB46" s="78">
        <f>'Billing &amp; Collection'!AB14/'Billing &amp; Collection'!AB6</f>
        <v>13.042773673344845</v>
      </c>
      <c r="AC46" s="10">
        <f>'Billing &amp; Collection'!AC14/'Billing &amp; Collection'!AC6</f>
        <v>13.037601289060101</v>
      </c>
      <c r="AD46" s="79">
        <f>'Billing &amp; Collection'!AD14/'Billing &amp; Collection'!AD6</f>
        <v>13.327162945120758</v>
      </c>
      <c r="AE46" s="68">
        <f>SUM(AB46:AD46)/3</f>
        <v>13.135845969175236</v>
      </c>
      <c r="AG46"/>
      <c r="AH46"/>
      <c r="AI46"/>
    </row>
    <row r="47" spans="1:35" ht="25" customHeight="1" x14ac:dyDescent="0.25">
      <c r="A47" s="14" t="s">
        <v>3</v>
      </c>
      <c r="B47" s="78">
        <f>'Billing &amp; Collection'!B15/'Billing &amp; Collection'!B7</f>
        <v>12.760787944725251</v>
      </c>
      <c r="C47" s="10">
        <f>'Billing &amp; Collection'!C15/'Billing &amp; Collection'!C7</f>
        <v>13.223727803401559</v>
      </c>
      <c r="D47" s="10">
        <f>'Billing &amp; Collection'!D15/'Billing &amp; Collection'!D7</f>
        <v>12.710239785420342</v>
      </c>
      <c r="E47" s="10">
        <f>'Billing &amp; Collection'!E15/'Billing &amp; Collection'!E7</f>
        <v>13.243789913375011</v>
      </c>
      <c r="F47" s="10">
        <f>'Billing &amp; Collection'!F15/'Billing &amp; Collection'!F7</f>
        <v>13.436051115936353</v>
      </c>
      <c r="G47" s="10">
        <f>'Billing &amp; Collection'!G15/'Billing &amp; Collection'!G7</f>
        <v>13.48969132692014</v>
      </c>
      <c r="H47" s="10">
        <f>'Billing &amp; Collection'!H15/'Billing &amp; Collection'!H7</f>
        <v>13.965690255838545</v>
      </c>
      <c r="I47" s="10">
        <f>'Billing &amp; Collection'!I15/'Billing &amp; Collection'!I7</f>
        <v>14.342936246728854</v>
      </c>
      <c r="J47" s="10">
        <f>'Billing &amp; Collection'!J15/'Billing &amp; Collection'!J7</f>
        <v>13.663562853725423</v>
      </c>
      <c r="K47" s="10">
        <f>'Billing &amp; Collection'!K15/'Billing &amp; Collection'!K7</f>
        <v>14.503764914615214</v>
      </c>
      <c r="L47" s="10">
        <f>'Billing &amp; Collection'!L15/'Billing &amp; Collection'!L7</f>
        <v>13.818806456369902</v>
      </c>
      <c r="M47" s="79">
        <f>'Billing &amp; Collection'!M15/'Billing &amp; Collection'!M7</f>
        <v>14.701362133221352</v>
      </c>
      <c r="N47" s="80">
        <f>(SUM(B47:M47)/12)</f>
        <v>13.655034229189829</v>
      </c>
      <c r="O47" s="78">
        <f>'Billing &amp; Collection'!O15/'Billing &amp; Collection'!O7</f>
        <v>13.742714377554574</v>
      </c>
      <c r="P47" s="10">
        <f>'Billing &amp; Collection'!P15/'Billing &amp; Collection'!P7</f>
        <v>13.872344376979937</v>
      </c>
      <c r="Q47" s="10">
        <f>'Billing &amp; Collection'!Q15/'Billing &amp; Collection'!Q7</f>
        <v>15.13739512480673</v>
      </c>
      <c r="R47" s="10">
        <f>'Billing &amp; Collection'!R15/'Billing &amp; Collection'!R7</f>
        <v>14.432657981331007</v>
      </c>
      <c r="S47" s="10">
        <f>'Billing &amp; Collection'!S15/'Billing &amp; Collection'!S7</f>
        <v>16.207470458679271</v>
      </c>
      <c r="T47" s="10">
        <f>'Billing &amp; Collection'!T15/'Billing &amp; Collection'!T7</f>
        <v>14.964315603465829</v>
      </c>
      <c r="U47" s="10">
        <f>'Billing &amp; Collection'!U15/'Billing &amp; Collection'!U7</f>
        <v>15.947267016988736</v>
      </c>
      <c r="V47" s="10">
        <f>'Billing &amp; Collection'!V15/'Billing &amp; Collection'!V7</f>
        <v>12.995379357631078</v>
      </c>
      <c r="W47" s="10">
        <f>'Billing &amp; Collection'!W15/'Billing &amp; Collection'!W7</f>
        <v>14.727285189161517</v>
      </c>
      <c r="X47" s="10">
        <f>'Billing &amp; Collection'!X15/'Billing &amp; Collection'!X7</f>
        <v>14.41661867744547</v>
      </c>
      <c r="Y47" s="10">
        <f>'Billing &amp; Collection'!Y15/'Billing &amp; Collection'!Y7</f>
        <v>14.994119442542846</v>
      </c>
      <c r="Z47" s="79">
        <f>'Billing &amp; Collection'!Z15/'Billing &amp; Collection'!Z7</f>
        <v>15.179787068259945</v>
      </c>
      <c r="AA47" s="80">
        <f>SUM(O47:Z47)/12</f>
        <v>14.718112889570577</v>
      </c>
      <c r="AB47" s="78">
        <f>'Billing &amp; Collection'!AB15/'Billing &amp; Collection'!AB7</f>
        <v>17.124833984756147</v>
      </c>
      <c r="AC47" s="10">
        <f>'Billing &amp; Collection'!AC15/'Billing &amp; Collection'!AC7</f>
        <v>17.906827516670582</v>
      </c>
      <c r="AD47" s="79">
        <f>'Billing &amp; Collection'!AD15/'Billing &amp; Collection'!AD7</f>
        <v>16.945580036149188</v>
      </c>
      <c r="AE47" s="68">
        <f>SUM(AB47:AD47)/3</f>
        <v>17.325747179191971</v>
      </c>
      <c r="AG47"/>
      <c r="AH47"/>
      <c r="AI47"/>
    </row>
    <row r="48" spans="1:35" ht="25" customHeight="1" thickBot="1" x14ac:dyDescent="0.3">
      <c r="A48" s="15" t="s">
        <v>4</v>
      </c>
      <c r="B48" s="81">
        <f>'Billing &amp; Collection'!B16/'Billing &amp; Collection'!B8</f>
        <v>9.9679789336038329</v>
      </c>
      <c r="C48" s="82">
        <f>'Billing &amp; Collection'!C16/'Billing &amp; Collection'!C8</f>
        <v>10.003324473697432</v>
      </c>
      <c r="D48" s="82">
        <f>'Billing &amp; Collection'!D16/'Billing &amp; Collection'!D8</f>
        <v>9.90374211632796</v>
      </c>
      <c r="E48" s="82">
        <f>'Billing &amp; Collection'!E16/'Billing &amp; Collection'!E8</f>
        <v>10.034202676922144</v>
      </c>
      <c r="F48" s="82">
        <f>'Billing &amp; Collection'!F16/'Billing &amp; Collection'!F8</f>
        <v>10.490311356029192</v>
      </c>
      <c r="G48" s="82">
        <f>'Billing &amp; Collection'!G16/'Billing &amp; Collection'!G8</f>
        <v>9.8840969363761086</v>
      </c>
      <c r="H48" s="82">
        <f>'Billing &amp; Collection'!H16/'Billing &amp; Collection'!H8</f>
        <v>10.385442354473929</v>
      </c>
      <c r="I48" s="82">
        <f>'Billing &amp; Collection'!I16/'Billing &amp; Collection'!I8</f>
        <v>10.492708369441715</v>
      </c>
      <c r="J48" s="82">
        <f>'Billing &amp; Collection'!J16/'Billing &amp; Collection'!J8</f>
        <v>10.36148426709198</v>
      </c>
      <c r="K48" s="82">
        <f>'Billing &amp; Collection'!K16/'Billing &amp; Collection'!K8</f>
        <v>10.49200419737816</v>
      </c>
      <c r="L48" s="82">
        <f>'Billing &amp; Collection'!L16/'Billing &amp; Collection'!L8</f>
        <v>10.533646366812185</v>
      </c>
      <c r="M48" s="83">
        <f>'Billing &amp; Collection'!M16/'Billing &amp; Collection'!M8</f>
        <v>10.513006170387436</v>
      </c>
      <c r="N48" s="84">
        <f>(SUM(B48:M48)/12)</f>
        <v>10.255162351545172</v>
      </c>
      <c r="O48" s="85">
        <f>'Billing &amp; Collection'!O16/'Billing &amp; Collection'!O8</f>
        <v>10.495578086854863</v>
      </c>
      <c r="P48" s="82">
        <f>'Billing &amp; Collection'!P16/'Billing &amp; Collection'!P8</f>
        <v>10.577303086645729</v>
      </c>
      <c r="Q48" s="82">
        <f>'Billing &amp; Collection'!Q16/'Billing &amp; Collection'!Q8</f>
        <v>10.438021265048352</v>
      </c>
      <c r="R48" s="82">
        <f>'Billing &amp; Collection'!R16/'Billing &amp; Collection'!R8</f>
        <v>10.455306874514122</v>
      </c>
      <c r="S48" s="82">
        <f>'Billing &amp; Collection'!S16/'Billing &amp; Collection'!S8</f>
        <v>10.837649304851452</v>
      </c>
      <c r="T48" s="82">
        <f>'Billing &amp; Collection'!T16/'Billing &amp; Collection'!T8</f>
        <v>10.936830273175099</v>
      </c>
      <c r="U48" s="82">
        <f>'Billing &amp; Collection'!U16/'Billing &amp; Collection'!U8</f>
        <v>10.952563998350708</v>
      </c>
      <c r="V48" s="82">
        <f>'Billing &amp; Collection'!V16/'Billing &amp; Collection'!V8</f>
        <v>10.903442942452813</v>
      </c>
      <c r="W48" s="82">
        <f>'Billing &amp; Collection'!W16/'Billing &amp; Collection'!W8</f>
        <v>10.957725883377877</v>
      </c>
      <c r="X48" s="82">
        <f>'Billing &amp; Collection'!X16/'Billing &amp; Collection'!X8</f>
        <v>10.902069051324965</v>
      </c>
      <c r="Y48" s="82">
        <f>'Billing &amp; Collection'!Y16/'Billing &amp; Collection'!Y8</f>
        <v>10.859056065794565</v>
      </c>
      <c r="Z48" s="83">
        <f>'Billing &amp; Collection'!Z16/'Billing &amp; Collection'!Z8</f>
        <v>11.018550490086653</v>
      </c>
      <c r="AA48" s="84">
        <f>SUM(O48:Z48)/12</f>
        <v>10.777841443539765</v>
      </c>
      <c r="AB48" s="85">
        <f>'Billing &amp; Collection'!AB16/'Billing &amp; Collection'!AB8</f>
        <v>12.53918123935073</v>
      </c>
      <c r="AC48" s="82">
        <f>'Billing &amp; Collection'!AC16/'Billing &amp; Collection'!AC8</f>
        <v>12.684043258481582</v>
      </c>
      <c r="AD48" s="83">
        <f>'Billing &amp; Collection'!AD16/'Billing &amp; Collection'!AD8</f>
        <v>12.739707516220749</v>
      </c>
      <c r="AE48" s="69">
        <f>SUM(AB48:AD48)/3</f>
        <v>12.65431067135102</v>
      </c>
    </row>
    <row r="49" spans="1:31" ht="25" customHeight="1" thickBot="1" x14ac:dyDescent="0.3">
      <c r="A49" s="23" t="s">
        <v>15</v>
      </c>
      <c r="B49" s="86">
        <f>'Billing &amp; Collection'!B17/'Billing &amp; Collection'!B9</f>
        <v>11.454298706588343</v>
      </c>
      <c r="C49" s="87">
        <f>'Billing &amp; Collection'!C17/'Billing &amp; Collection'!C9</f>
        <v>10.684991909706762</v>
      </c>
      <c r="D49" s="87">
        <f>'Billing &amp; Collection'!D17/'Billing &amp; Collection'!D9</f>
        <v>10.553608209967198</v>
      </c>
      <c r="E49" s="87">
        <f>'Billing &amp; Collection'!E17/'Billing &amp; Collection'!E9</f>
        <v>10.756704963372343</v>
      </c>
      <c r="F49" s="87">
        <f>'Billing &amp; Collection'!F17/'Billing &amp; Collection'!F9</f>
        <v>10.809460150000882</v>
      </c>
      <c r="G49" s="87">
        <f>'Billing &amp; Collection'!G17/'Billing &amp; Collection'!G9</f>
        <v>10.640594767441273</v>
      </c>
      <c r="H49" s="87">
        <f>'Billing &amp; Collection'!H17/'Billing &amp; Collection'!H9</f>
        <v>11.187928260568849</v>
      </c>
      <c r="I49" s="87">
        <f>'Billing &amp; Collection'!I17/'Billing &amp; Collection'!I9</f>
        <v>11.218979094281726</v>
      </c>
      <c r="J49" s="87">
        <f>'Billing &amp; Collection'!J17/'Billing &amp; Collection'!J9</f>
        <v>11.147027120170954</v>
      </c>
      <c r="K49" s="87">
        <f>'Billing &amp; Collection'!K17/'Billing &amp; Collection'!K9</f>
        <v>11.449501165769263</v>
      </c>
      <c r="L49" s="87">
        <f>'Billing &amp; Collection'!L17/'Billing &amp; Collection'!L9</f>
        <v>11.330482823562772</v>
      </c>
      <c r="M49" s="88">
        <f>'Billing &amp; Collection'!M17/'Billing &amp; Collection'!M9</f>
        <v>11.447573726598121</v>
      </c>
      <c r="N49" s="63">
        <f>(SUM(B49:M49)/12)</f>
        <v>11.056762574835707</v>
      </c>
      <c r="O49" s="86">
        <f>'Billing &amp; Collection'!O17/'Billing &amp; Collection'!O9</f>
        <v>11.235317948057521</v>
      </c>
      <c r="P49" s="87">
        <f>'Billing &amp; Collection'!P17/'Billing &amp; Collection'!P9</f>
        <v>11.404000449854767</v>
      </c>
      <c r="Q49" s="87">
        <f>'Billing &amp; Collection'!Q17/'Billing &amp; Collection'!Q9</f>
        <v>11.504239744457951</v>
      </c>
      <c r="R49" s="87">
        <f>'Billing &amp; Collection'!R17/'Billing &amp; Collection'!R9</f>
        <v>11.50862844523515</v>
      </c>
      <c r="S49" s="87">
        <f>'Billing &amp; Collection'!S17/'Billing &amp; Collection'!S9</f>
        <v>12.110864464438096</v>
      </c>
      <c r="T49" s="87">
        <f>'Billing &amp; Collection'!T17/'Billing &amp; Collection'!T9</f>
        <v>11.868686475459016</v>
      </c>
      <c r="U49" s="87">
        <f>'Billing &amp; Collection'!U17/'Billing &amp; Collection'!U9</f>
        <v>12.007345159153607</v>
      </c>
      <c r="V49" s="87">
        <f>'Billing &amp; Collection'!V17/'Billing &amp; Collection'!V9</f>
        <v>11.601840344367755</v>
      </c>
      <c r="W49" s="87">
        <f>'Billing &amp; Collection'!W17/'Billing &amp; Collection'!W9</f>
        <v>11.893344595012957</v>
      </c>
      <c r="X49" s="87">
        <f>'Billing &amp; Collection'!X17/'Billing &amp; Collection'!X9</f>
        <v>11.83775301788064</v>
      </c>
      <c r="Y49" s="87">
        <f>'Billing &amp; Collection'!Y17/'Billing &amp; Collection'!Y9</f>
        <v>11.87387988355386</v>
      </c>
      <c r="Z49" s="89">
        <f>'Billing &amp; Collection'!Z17/'Billing &amp; Collection'!Z9</f>
        <v>11.993268946927461</v>
      </c>
      <c r="AA49" s="63">
        <f>SUM(O49:Z49)/12</f>
        <v>11.736597456199897</v>
      </c>
      <c r="AB49" s="86">
        <f>'Billing &amp; Collection'!AB17/'Billing &amp; Collection'!AB9</f>
        <v>13.740996683657903</v>
      </c>
      <c r="AC49" s="87">
        <f>'Billing &amp; Collection'!AC17/'Billing &amp; Collection'!AC9</f>
        <v>13.965736798699925</v>
      </c>
      <c r="AD49" s="89">
        <f>'Billing &amp; Collection'!AD17/'Billing &amp; Collection'!AD9</f>
        <v>13.961690126950188</v>
      </c>
      <c r="AE49" s="70">
        <f>SUM(AB49:AD49)/3</f>
        <v>13.889474536436005</v>
      </c>
    </row>
    <row r="51" spans="1:31" ht="17" thickBot="1" x14ac:dyDescent="0.3">
      <c r="A51" s="8" t="s">
        <v>50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1" ht="17" thickBot="1" x14ac:dyDescent="0.3">
      <c r="A52" s="13"/>
      <c r="B52" s="20">
        <v>45292</v>
      </c>
      <c r="C52" s="21">
        <v>45323</v>
      </c>
      <c r="D52" s="21">
        <v>45352</v>
      </c>
      <c r="E52" s="21">
        <v>45383</v>
      </c>
      <c r="F52" s="21">
        <v>45413</v>
      </c>
      <c r="G52" s="21">
        <v>45444</v>
      </c>
      <c r="H52" s="21">
        <v>45474</v>
      </c>
      <c r="I52" s="21">
        <v>45505</v>
      </c>
      <c r="J52" s="21">
        <v>45536</v>
      </c>
      <c r="K52" s="21">
        <v>45566</v>
      </c>
      <c r="L52" s="21">
        <v>45597</v>
      </c>
      <c r="M52" s="30">
        <v>45627</v>
      </c>
      <c r="N52" s="29" t="s">
        <v>16</v>
      </c>
      <c r="O52" s="22">
        <v>45658</v>
      </c>
      <c r="P52" s="21">
        <v>45689</v>
      </c>
      <c r="Q52" s="21">
        <v>45717</v>
      </c>
      <c r="R52" s="21">
        <v>45748</v>
      </c>
      <c r="S52" s="21">
        <v>45778</v>
      </c>
      <c r="T52" s="21">
        <v>45809</v>
      </c>
      <c r="U52" s="21">
        <v>45839</v>
      </c>
      <c r="V52" s="21">
        <v>45870</v>
      </c>
      <c r="W52" s="21">
        <v>45901</v>
      </c>
      <c r="X52" s="21">
        <v>45931</v>
      </c>
      <c r="Y52" s="21">
        <v>45962</v>
      </c>
      <c r="Z52" s="30">
        <v>45992</v>
      </c>
      <c r="AA52" s="29" t="s">
        <v>17</v>
      </c>
      <c r="AB52" s="22">
        <v>46023</v>
      </c>
      <c r="AC52" s="21">
        <v>46054</v>
      </c>
      <c r="AD52" s="30">
        <v>46082</v>
      </c>
      <c r="AE52" s="41" t="s">
        <v>18</v>
      </c>
    </row>
    <row r="53" spans="1:31" x14ac:dyDescent="0.25">
      <c r="A53" s="14" t="s">
        <v>1</v>
      </c>
      <c r="B53" s="18">
        <f>B37/B13</f>
        <v>8.7649710736516813</v>
      </c>
      <c r="C53" s="19">
        <f t="shared" ref="C53:M53" si="0">C37/C13</f>
        <v>9.232641583746485</v>
      </c>
      <c r="D53" s="19">
        <f t="shared" si="0"/>
        <v>9.6921769292021533</v>
      </c>
      <c r="E53" s="19">
        <f t="shared" si="0"/>
        <v>5.3913275799290759</v>
      </c>
      <c r="F53" s="19">
        <f t="shared" si="0"/>
        <v>6.0540263232000058</v>
      </c>
      <c r="G53" s="19">
        <f t="shared" si="0"/>
        <v>5.924216330413584</v>
      </c>
      <c r="H53" s="19">
        <f t="shared" si="0"/>
        <v>5.7810718706614468</v>
      </c>
      <c r="I53" s="19">
        <f t="shared" si="0"/>
        <v>5.6043086182730901</v>
      </c>
      <c r="J53" s="19">
        <f t="shared" si="0"/>
        <v>5.9983206167357439</v>
      </c>
      <c r="K53" s="19">
        <f t="shared" si="0"/>
        <v>5.2737721266446886</v>
      </c>
      <c r="L53" s="19">
        <f t="shared" si="0"/>
        <v>5.6298731909423791</v>
      </c>
      <c r="M53" s="32">
        <f t="shared" si="0"/>
        <v>5.8851463836993476</v>
      </c>
      <c r="N53" s="31">
        <f>SUM(B53:M53)/12</f>
        <v>6.6026543855916406</v>
      </c>
      <c r="O53" s="18">
        <f t="shared" ref="O53:Z53" si="1">O37/O13</f>
        <v>5.4272830340991298</v>
      </c>
      <c r="P53" s="19">
        <f t="shared" si="1"/>
        <v>6.0283949173623181</v>
      </c>
      <c r="Q53" s="19">
        <f t="shared" si="1"/>
        <v>5.8703599629618637</v>
      </c>
      <c r="R53" s="19">
        <f t="shared" si="1"/>
        <v>6.3200401733801632</v>
      </c>
      <c r="S53" s="19">
        <f t="shared" si="1"/>
        <v>6.1429538818225264</v>
      </c>
      <c r="T53" s="19">
        <f t="shared" si="1"/>
        <v>6.1680316904505448</v>
      </c>
      <c r="U53" s="19">
        <f t="shared" si="1"/>
        <v>7.3564215279518868</v>
      </c>
      <c r="V53" s="19">
        <f t="shared" si="1"/>
        <v>6.8593113936791532</v>
      </c>
      <c r="W53" s="19">
        <f t="shared" si="1"/>
        <v>6.3040906315743674</v>
      </c>
      <c r="X53" s="19">
        <f t="shared" si="1"/>
        <v>6.4088439273144697</v>
      </c>
      <c r="Y53" s="19">
        <f t="shared" si="1"/>
        <v>6.3261768432598915</v>
      </c>
      <c r="Z53" s="39">
        <f t="shared" si="1"/>
        <v>6.8715515925322928</v>
      </c>
      <c r="AA53" s="31">
        <f>SUM(O53:Z53)/12</f>
        <v>6.3402882980323847</v>
      </c>
      <c r="AB53" s="18">
        <f t="shared" ref="AB53:AD53" si="2">AB37/AB13</f>
        <v>5.68142547395089</v>
      </c>
      <c r="AC53" s="19">
        <f t="shared" si="2"/>
        <v>6.2327288983347753</v>
      </c>
      <c r="AD53" s="39">
        <f t="shared" si="2"/>
        <v>6.2527924101501853</v>
      </c>
      <c r="AE53" s="42">
        <f>SUM(AA53:AD53)/3</f>
        <v>8.1690783601560781</v>
      </c>
    </row>
    <row r="54" spans="1:31" x14ac:dyDescent="0.25">
      <c r="A54" s="14" t="s">
        <v>2</v>
      </c>
      <c r="B54" s="11">
        <f t="shared" ref="B54:M54" si="3">B38/B14</f>
        <v>4.2940968537230431</v>
      </c>
      <c r="C54" s="9">
        <f t="shared" si="3"/>
        <v>7.2146903744030331</v>
      </c>
      <c r="D54" s="9">
        <f t="shared" si="3"/>
        <v>7.1412773798091971</v>
      </c>
      <c r="E54" s="9">
        <f t="shared" si="3"/>
        <v>6.8206766021585512</v>
      </c>
      <c r="F54" s="9">
        <f t="shared" si="3"/>
        <v>7.453656508165369</v>
      </c>
      <c r="G54" s="9">
        <f t="shared" si="3"/>
        <v>6.9924318257303755</v>
      </c>
      <c r="H54" s="9">
        <f t="shared" si="3"/>
        <v>7.2335505703427829</v>
      </c>
      <c r="I54" s="9">
        <f t="shared" si="3"/>
        <v>6.5290136736066611</v>
      </c>
      <c r="J54" s="9">
        <f t="shared" si="3"/>
        <v>6.81176546133623</v>
      </c>
      <c r="K54" s="9">
        <f t="shared" si="3"/>
        <v>6.0266765751588336</v>
      </c>
      <c r="L54" s="9">
        <f t="shared" si="3"/>
        <v>5.4122953876550968</v>
      </c>
      <c r="M54" s="34">
        <f t="shared" si="3"/>
        <v>6.409134482907076</v>
      </c>
      <c r="N54" s="31">
        <f>SUM(B54:M54)/12</f>
        <v>6.5282721412496878</v>
      </c>
      <c r="O54" s="11">
        <f t="shared" ref="O54:Z54" si="4">O38/O14</f>
        <v>5.0158470006469331</v>
      </c>
      <c r="P54" s="9">
        <f t="shared" si="4"/>
        <v>5.7924117083139386</v>
      </c>
      <c r="Q54" s="9">
        <f t="shared" si="4"/>
        <v>5.8607409574782725</v>
      </c>
      <c r="R54" s="9">
        <f t="shared" si="4"/>
        <v>6.2043034160919461</v>
      </c>
      <c r="S54" s="9">
        <f t="shared" si="4"/>
        <v>5.5772526898064063</v>
      </c>
      <c r="T54" s="9">
        <f t="shared" si="4"/>
        <v>6.1199885637402769</v>
      </c>
      <c r="U54" s="9">
        <f t="shared" si="4"/>
        <v>7.4358478511990107</v>
      </c>
      <c r="V54" s="9">
        <f t="shared" si="4"/>
        <v>5.6101629166935867</v>
      </c>
      <c r="W54" s="9">
        <f t="shared" si="4"/>
        <v>5.9997507950595219</v>
      </c>
      <c r="X54" s="9">
        <f t="shared" si="4"/>
        <v>5.2662441918767824</v>
      </c>
      <c r="Y54" s="9">
        <f t="shared" si="4"/>
        <v>5.635954810081591</v>
      </c>
      <c r="Z54" s="34">
        <f t="shared" si="4"/>
        <v>5.8761366219088496</v>
      </c>
      <c r="AA54" s="31">
        <f>SUM(O54:Z54)/12</f>
        <v>5.8662201269080931</v>
      </c>
      <c r="AB54" s="11">
        <f t="shared" ref="AB54:AD54" si="5">AB38/AB14</f>
        <v>4.0980120342616981</v>
      </c>
      <c r="AC54" s="9">
        <f t="shared" si="5"/>
        <v>5.1219033406091796</v>
      </c>
      <c r="AD54" s="34">
        <f t="shared" si="5"/>
        <v>5.0756557014496257</v>
      </c>
      <c r="AE54" s="42">
        <f>SUM(AA54:AD54)/3</f>
        <v>6.7205970677428652</v>
      </c>
    </row>
    <row r="55" spans="1:31" x14ac:dyDescent="0.25">
      <c r="A55" s="14" t="s">
        <v>3</v>
      </c>
      <c r="B55" s="11">
        <f t="shared" ref="B55:M55" si="6">B39/B15</f>
        <v>5.0343238838744773</v>
      </c>
      <c r="C55" s="9">
        <f t="shared" si="6"/>
        <v>4.6707556905598393</v>
      </c>
      <c r="D55" s="9">
        <f t="shared" si="6"/>
        <v>5.1643769830741499</v>
      </c>
      <c r="E55" s="9">
        <f t="shared" si="6"/>
        <v>4.5029674755195721</v>
      </c>
      <c r="F55" s="9">
        <f t="shared" si="6"/>
        <v>4.5214621199743394</v>
      </c>
      <c r="G55" s="9">
        <f t="shared" si="6"/>
        <v>4.8271134600177126</v>
      </c>
      <c r="H55" s="9">
        <f t="shared" si="6"/>
        <v>4.8452081252505002</v>
      </c>
      <c r="I55" s="9">
        <f t="shared" si="6"/>
        <v>4.6580090406700752</v>
      </c>
      <c r="J55" s="9">
        <f t="shared" si="6"/>
        <v>4.5846758305262263</v>
      </c>
      <c r="K55" s="9">
        <f t="shared" si="6"/>
        <v>4.4335881556040482</v>
      </c>
      <c r="L55" s="9">
        <f t="shared" si="6"/>
        <v>4.3581790571649357</v>
      </c>
      <c r="M55" s="34">
        <f t="shared" si="6"/>
        <v>4.6682787158194072</v>
      </c>
      <c r="N55" s="31">
        <f>SUM(B55:M55)/12</f>
        <v>4.689078211504607</v>
      </c>
      <c r="O55" s="11">
        <f t="shared" ref="O55:Z55" si="7">O39/O15</f>
        <v>4.0398281981570729</v>
      </c>
      <c r="P55" s="9">
        <f t="shared" si="7"/>
        <v>4.5510728953031432</v>
      </c>
      <c r="Q55" s="9">
        <f t="shared" si="7"/>
        <v>4.1657380835163726</v>
      </c>
      <c r="R55" s="9">
        <f t="shared" si="7"/>
        <v>4.569528832820863</v>
      </c>
      <c r="S55" s="9">
        <f t="shared" si="7"/>
        <v>3.9733869173149579</v>
      </c>
      <c r="T55" s="9">
        <f t="shared" si="7"/>
        <v>4.5482201470516195</v>
      </c>
      <c r="U55" s="9">
        <f t="shared" si="7"/>
        <v>5.758093025628626</v>
      </c>
      <c r="V55" s="9">
        <f t="shared" si="7"/>
        <v>5.2650438833648652</v>
      </c>
      <c r="W55" s="9">
        <f t="shared" si="7"/>
        <v>4.781141732365576</v>
      </c>
      <c r="X55" s="9">
        <f t="shared" si="7"/>
        <v>4.3129697475937192</v>
      </c>
      <c r="Y55" s="9">
        <f t="shared" si="7"/>
        <v>4.4059310071705031</v>
      </c>
      <c r="Z55" s="34">
        <f t="shared" si="7"/>
        <v>4.5628285329400784</v>
      </c>
      <c r="AA55" s="31">
        <f>SUM(O55:Z55)/12</f>
        <v>4.5778152502689498</v>
      </c>
      <c r="AB55" s="11">
        <f t="shared" ref="AB55:AD55" si="8">AB39/AB15</f>
        <v>3.7180052257698151</v>
      </c>
      <c r="AC55" s="9">
        <f t="shared" si="8"/>
        <v>4.0448155037065687</v>
      </c>
      <c r="AD55" s="34">
        <f t="shared" si="8"/>
        <v>4.4789507419173145</v>
      </c>
      <c r="AE55" s="42">
        <f>SUM(AA55:AD55)/3</f>
        <v>5.6065289072208815</v>
      </c>
    </row>
    <row r="56" spans="1:31" ht="17" thickBot="1" x14ac:dyDescent="0.3">
      <c r="A56" s="15" t="s">
        <v>4</v>
      </c>
      <c r="B56" s="26">
        <f t="shared" ref="B56:M56" si="9">B40/B16</f>
        <v>8.3372956772054554</v>
      </c>
      <c r="C56" s="27">
        <f t="shared" si="9"/>
        <v>8.7782216972564804</v>
      </c>
      <c r="D56" s="27">
        <f t="shared" si="9"/>
        <v>9.8707239759919947</v>
      </c>
      <c r="E56" s="27">
        <f t="shared" si="9"/>
        <v>6.6484384569557493</v>
      </c>
      <c r="F56" s="27">
        <f t="shared" si="9"/>
        <v>5.138164816777576</v>
      </c>
      <c r="G56" s="27">
        <f t="shared" si="9"/>
        <v>6.8782662854632273</v>
      </c>
      <c r="H56" s="27">
        <f t="shared" si="9"/>
        <v>6.9429494997373684</v>
      </c>
      <c r="I56" s="27">
        <f t="shared" si="9"/>
        <v>6.5991272207915079</v>
      </c>
      <c r="J56" s="27">
        <f t="shared" si="9"/>
        <v>7.0200301617146641</v>
      </c>
      <c r="K56" s="27">
        <f t="shared" si="9"/>
        <v>6.7563243396182378</v>
      </c>
      <c r="L56" s="27">
        <f t="shared" si="9"/>
        <v>6.638594129165007</v>
      </c>
      <c r="M56" s="36">
        <f t="shared" si="9"/>
        <v>7.4103108943384699</v>
      </c>
      <c r="N56" s="90">
        <f>SUM(B56:M56)/12</f>
        <v>7.251537262917978</v>
      </c>
      <c r="O56" s="28">
        <f t="shared" ref="O56:Z56" si="10">O40/O16</f>
        <v>6.2426603390501505</v>
      </c>
      <c r="P56" s="27">
        <f t="shared" si="10"/>
        <v>7.037281955821447</v>
      </c>
      <c r="Q56" s="27">
        <f t="shared" si="10"/>
        <v>7.3297526635922194</v>
      </c>
      <c r="R56" s="27">
        <f t="shared" si="10"/>
        <v>7.5584429185725721</v>
      </c>
      <c r="S56" s="27">
        <f t="shared" si="10"/>
        <v>7.2434380150926971</v>
      </c>
      <c r="T56" s="27">
        <f t="shared" si="10"/>
        <v>6.9569163060953878</v>
      </c>
      <c r="U56" s="27">
        <f t="shared" si="10"/>
        <v>8.5527946803147881</v>
      </c>
      <c r="V56" s="27">
        <f t="shared" si="10"/>
        <v>6.9994199426509631</v>
      </c>
      <c r="W56" s="27">
        <f t="shared" si="10"/>
        <v>7.0855605977856575</v>
      </c>
      <c r="X56" s="27">
        <f t="shared" si="10"/>
        <v>6.9568164046735079</v>
      </c>
      <c r="Y56" s="27">
        <f t="shared" si="10"/>
        <v>6.8861632990322237</v>
      </c>
      <c r="Z56" s="36">
        <f t="shared" si="10"/>
        <v>7.0962103708670288</v>
      </c>
      <c r="AA56" s="90">
        <f>SUM(O56:Z56)/12</f>
        <v>7.1621214577957195</v>
      </c>
      <c r="AB56" s="28">
        <f t="shared" ref="AB56:AD56" si="11">AB40/AB16</f>
        <v>5.7038506867291643</v>
      </c>
      <c r="AC56" s="27">
        <f t="shared" si="11"/>
        <v>6.2385007733669333</v>
      </c>
      <c r="AD56" s="36">
        <f t="shared" si="11"/>
        <v>6.2134883132397025</v>
      </c>
      <c r="AE56" s="92">
        <f>SUM(AA56:AD56)/3</f>
        <v>8.4393204103771726</v>
      </c>
    </row>
    <row r="57" spans="1:31" ht="17" thickBot="1" x14ac:dyDescent="0.3">
      <c r="A57" s="23" t="s">
        <v>13</v>
      </c>
      <c r="B57" s="24">
        <f>(SUM(B53:B56)/4)</f>
        <v>6.6076718721136647</v>
      </c>
      <c r="C57" s="25">
        <f t="shared" ref="C57:M57" si="12">(SUM(C53:C56)/4)</f>
        <v>7.4740773364914599</v>
      </c>
      <c r="D57" s="25">
        <f t="shared" si="12"/>
        <v>7.9671388170193733</v>
      </c>
      <c r="E57" s="25">
        <f t="shared" si="12"/>
        <v>5.8408525286407373</v>
      </c>
      <c r="F57" s="25">
        <f t="shared" si="12"/>
        <v>5.791827442029323</v>
      </c>
      <c r="G57" s="25">
        <f t="shared" si="12"/>
        <v>6.155506975406225</v>
      </c>
      <c r="H57" s="25">
        <f t="shared" si="12"/>
        <v>6.2006950164980239</v>
      </c>
      <c r="I57" s="25">
        <f t="shared" si="12"/>
        <v>5.8476146383353331</v>
      </c>
      <c r="J57" s="25">
        <f t="shared" si="12"/>
        <v>6.1036980175782158</v>
      </c>
      <c r="K57" s="25">
        <f t="shared" si="12"/>
        <v>5.6225902992564523</v>
      </c>
      <c r="L57" s="25">
        <f t="shared" si="12"/>
        <v>5.5097354412318547</v>
      </c>
      <c r="M57" s="38">
        <f t="shared" si="12"/>
        <v>6.0932176191910754</v>
      </c>
      <c r="N57" s="91">
        <f>SUM(B57:M57)/12</f>
        <v>6.2678855003159795</v>
      </c>
      <c r="O57" s="24">
        <f t="shared" ref="O57:Z57" si="13">(SUM(O53:O56)/4)</f>
        <v>5.1814046429883209</v>
      </c>
      <c r="P57" s="25">
        <f t="shared" si="13"/>
        <v>5.8522903692002117</v>
      </c>
      <c r="Q57" s="25">
        <f t="shared" si="13"/>
        <v>5.8066479168871821</v>
      </c>
      <c r="R57" s="25">
        <f t="shared" si="13"/>
        <v>6.1630788352163872</v>
      </c>
      <c r="S57" s="25">
        <f t="shared" si="13"/>
        <v>5.7342578760091465</v>
      </c>
      <c r="T57" s="25">
        <f t="shared" si="13"/>
        <v>5.9482891768344572</v>
      </c>
      <c r="U57" s="25">
        <f t="shared" si="13"/>
        <v>7.2757892712735774</v>
      </c>
      <c r="V57" s="25">
        <f t="shared" si="13"/>
        <v>6.1834845340971416</v>
      </c>
      <c r="W57" s="25">
        <f t="shared" si="13"/>
        <v>6.0426359391962805</v>
      </c>
      <c r="X57" s="25">
        <f t="shared" si="13"/>
        <v>5.7362185678646194</v>
      </c>
      <c r="Y57" s="25">
        <f t="shared" si="13"/>
        <v>5.8135564898860528</v>
      </c>
      <c r="Z57" s="40">
        <f t="shared" si="13"/>
        <v>6.1016817795620621</v>
      </c>
      <c r="AA57" s="91">
        <f>SUM(O57:Z57)/12</f>
        <v>5.9866112832512854</v>
      </c>
      <c r="AB57" s="24">
        <f t="shared" ref="AB57:AD57" si="14">(SUM(AB53:AB56)/4)</f>
        <v>4.8003233551778921</v>
      </c>
      <c r="AC57" s="25">
        <f t="shared" si="14"/>
        <v>5.409487129004364</v>
      </c>
      <c r="AD57" s="40">
        <f t="shared" si="14"/>
        <v>5.5052217916892072</v>
      </c>
      <c r="AE57" s="93">
        <f>SUM(AA57:AD57)/3</f>
        <v>7.2338811863742505</v>
      </c>
    </row>
    <row r="59" spans="1:31" ht="17" thickBot="1" x14ac:dyDescent="0.3">
      <c r="A59" s="8" t="s">
        <v>51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1" ht="17" thickBot="1" x14ac:dyDescent="0.3">
      <c r="A60" s="13"/>
      <c r="B60" s="20">
        <v>45292</v>
      </c>
      <c r="C60" s="21">
        <v>45323</v>
      </c>
      <c r="D60" s="21">
        <v>45352</v>
      </c>
      <c r="E60" s="21">
        <v>45383</v>
      </c>
      <c r="F60" s="21">
        <v>45413</v>
      </c>
      <c r="G60" s="21">
        <v>45444</v>
      </c>
      <c r="H60" s="21">
        <v>45474</v>
      </c>
      <c r="I60" s="21">
        <v>45505</v>
      </c>
      <c r="J60" s="21">
        <v>45536</v>
      </c>
      <c r="K60" s="21">
        <v>45566</v>
      </c>
      <c r="L60" s="21">
        <v>45597</v>
      </c>
      <c r="M60" s="30">
        <v>45627</v>
      </c>
      <c r="N60" s="29" t="s">
        <v>16</v>
      </c>
      <c r="O60" s="22">
        <v>45658</v>
      </c>
      <c r="P60" s="21">
        <v>45689</v>
      </c>
      <c r="Q60" s="21">
        <v>45717</v>
      </c>
      <c r="R60" s="21">
        <v>45748</v>
      </c>
      <c r="S60" s="21">
        <v>45778</v>
      </c>
      <c r="T60" s="21">
        <v>45809</v>
      </c>
      <c r="U60" s="21">
        <v>45839</v>
      </c>
      <c r="V60" s="21">
        <v>45870</v>
      </c>
      <c r="W60" s="21">
        <v>45901</v>
      </c>
      <c r="X60" s="21">
        <v>45931</v>
      </c>
      <c r="Y60" s="21">
        <v>45962</v>
      </c>
      <c r="Z60" s="30">
        <v>45992</v>
      </c>
      <c r="AA60" s="29" t="s">
        <v>17</v>
      </c>
      <c r="AB60" s="22">
        <v>46023</v>
      </c>
      <c r="AC60" s="21">
        <v>46054</v>
      </c>
      <c r="AD60" s="30">
        <v>46082</v>
      </c>
      <c r="AE60" s="41" t="s">
        <v>18</v>
      </c>
    </row>
    <row r="61" spans="1:31" x14ac:dyDescent="0.25">
      <c r="A61" s="14" t="s">
        <v>1</v>
      </c>
      <c r="B61" s="47">
        <f>(3/B53)</f>
        <v>0.3422715231791556</v>
      </c>
      <c r="C61" s="48">
        <f t="shared" ref="C61:M61" si="15">(3/C53)</f>
        <v>0.32493409094113662</v>
      </c>
      <c r="D61" s="48">
        <f t="shared" si="15"/>
        <v>0.30952798549943061</v>
      </c>
      <c r="E61" s="48">
        <f t="shared" si="15"/>
        <v>0.55644921506317846</v>
      </c>
      <c r="F61" s="48">
        <f t="shared" si="15"/>
        <v>0.49553798411868744</v>
      </c>
      <c r="G61" s="48">
        <f t="shared" si="15"/>
        <v>0.50639609235717475</v>
      </c>
      <c r="H61" s="48">
        <f t="shared" si="15"/>
        <v>0.51893490811363185</v>
      </c>
      <c r="I61" s="48">
        <f t="shared" si="15"/>
        <v>0.53530242610451007</v>
      </c>
      <c r="J61" s="48">
        <f t="shared" si="15"/>
        <v>0.50013998778754598</v>
      </c>
      <c r="K61" s="48">
        <f t="shared" si="15"/>
        <v>0.56885279226288421</v>
      </c>
      <c r="L61" s="48">
        <f t="shared" si="15"/>
        <v>0.53287168258541773</v>
      </c>
      <c r="M61" s="49">
        <f t="shared" si="15"/>
        <v>0.50975792349182458</v>
      </c>
      <c r="N61" s="64">
        <f>SUM(B61:M61)/12</f>
        <v>0.47508138429204821</v>
      </c>
      <c r="O61" s="47">
        <f t="shared" ref="O61:Z61" si="16">(3/O53)</f>
        <v>0.55276276935462376</v>
      </c>
      <c r="P61" s="48">
        <f t="shared" si="16"/>
        <v>0.49764490235364822</v>
      </c>
      <c r="Q61" s="48">
        <f t="shared" si="16"/>
        <v>0.5110419154750373</v>
      </c>
      <c r="R61" s="48">
        <f t="shared" si="16"/>
        <v>0.47468052697448321</v>
      </c>
      <c r="S61" s="48">
        <f t="shared" si="16"/>
        <v>0.48836440216118682</v>
      </c>
      <c r="T61" s="48">
        <f t="shared" si="16"/>
        <v>0.48637882400063748</v>
      </c>
      <c r="U61" s="48">
        <f t="shared" si="16"/>
        <v>0.40780697362175694</v>
      </c>
      <c r="V61" s="48">
        <f t="shared" si="16"/>
        <v>0.43736168659211128</v>
      </c>
      <c r="W61" s="48">
        <f t="shared" si="16"/>
        <v>0.47588148320304013</v>
      </c>
      <c r="X61" s="48">
        <f t="shared" si="16"/>
        <v>0.4681031452824137</v>
      </c>
      <c r="Y61" s="48">
        <f t="shared" si="16"/>
        <v>0.47422006597812622</v>
      </c>
      <c r="Z61" s="104">
        <f t="shared" si="16"/>
        <v>0.43658262032992246</v>
      </c>
      <c r="AA61" s="64">
        <f>SUM(O61:Z61)/12</f>
        <v>0.47590244294391559</v>
      </c>
      <c r="AB61" s="47">
        <f t="shared" ref="AB61:AD61" si="17">(3/AB53)</f>
        <v>0.52803649607917602</v>
      </c>
      <c r="AC61" s="48">
        <f t="shared" si="17"/>
        <v>0.48133009616406108</v>
      </c>
      <c r="AD61" s="104">
        <f t="shared" si="17"/>
        <v>0.47978563867402457</v>
      </c>
      <c r="AE61" s="71">
        <f>SUM(AA61:AD61)/3</f>
        <v>0.65501822462039228</v>
      </c>
    </row>
    <row r="62" spans="1:31" x14ac:dyDescent="0.25">
      <c r="A62" s="14" t="s">
        <v>2</v>
      </c>
      <c r="B62" s="54">
        <f t="shared" ref="B62:M62" si="18">(3/B54)</f>
        <v>0.69863351996798984</v>
      </c>
      <c r="C62" s="50">
        <f t="shared" si="18"/>
        <v>0.41581826028788238</v>
      </c>
      <c r="D62" s="50">
        <f t="shared" si="18"/>
        <v>0.42009291061596532</v>
      </c>
      <c r="E62" s="50">
        <f t="shared" si="18"/>
        <v>0.43983906216145546</v>
      </c>
      <c r="F62" s="50">
        <f t="shared" si="18"/>
        <v>0.40248702052657576</v>
      </c>
      <c r="G62" s="50">
        <f t="shared" si="18"/>
        <v>0.429035287689293</v>
      </c>
      <c r="H62" s="50">
        <f t="shared" si="18"/>
        <v>0.41473408816686219</v>
      </c>
      <c r="I62" s="50">
        <f t="shared" si="18"/>
        <v>0.45948747390856426</v>
      </c>
      <c r="J62" s="50">
        <f t="shared" si="18"/>
        <v>0.44041445892817116</v>
      </c>
      <c r="K62" s="50">
        <f t="shared" si="18"/>
        <v>0.49778679220411537</v>
      </c>
      <c r="L62" s="50">
        <f t="shared" si="18"/>
        <v>0.55429347164655851</v>
      </c>
      <c r="M62" s="51">
        <f t="shared" si="18"/>
        <v>0.46808192401031506</v>
      </c>
      <c r="N62" s="64">
        <f>SUM(B62:M62)/12</f>
        <v>0.47005868917614574</v>
      </c>
      <c r="O62" s="54">
        <f t="shared" ref="O62:Z62" si="19">(3/O54)</f>
        <v>0.5981043679388679</v>
      </c>
      <c r="P62" s="50">
        <f t="shared" si="19"/>
        <v>0.51791898626509114</v>
      </c>
      <c r="Q62" s="50">
        <f t="shared" si="19"/>
        <v>0.51188066863320703</v>
      </c>
      <c r="R62" s="50">
        <f t="shared" si="19"/>
        <v>0.48353534616295124</v>
      </c>
      <c r="S62" s="50">
        <f t="shared" si="19"/>
        <v>0.53789924302392222</v>
      </c>
      <c r="T62" s="50">
        <f t="shared" si="19"/>
        <v>0.49019699444773596</v>
      </c>
      <c r="U62" s="50">
        <f t="shared" si="19"/>
        <v>0.40345096618891391</v>
      </c>
      <c r="V62" s="50">
        <f t="shared" si="19"/>
        <v>0.53474382910934859</v>
      </c>
      <c r="W62" s="50">
        <f t="shared" si="19"/>
        <v>0.50002076794095207</v>
      </c>
      <c r="X62" s="50">
        <f t="shared" si="19"/>
        <v>0.56966594990553621</v>
      </c>
      <c r="Y62" s="50">
        <f t="shared" si="19"/>
        <v>0.53229667396083491</v>
      </c>
      <c r="Z62" s="51">
        <f t="shared" si="19"/>
        <v>0.51053952503668254</v>
      </c>
      <c r="AA62" s="64">
        <f>SUM(O62:Z62)/12</f>
        <v>0.51585444321783702</v>
      </c>
      <c r="AB62" s="54">
        <f t="shared" ref="AB62:AD62" si="20">(3/AB54)</f>
        <v>0.73206227188165951</v>
      </c>
      <c r="AC62" s="50">
        <f t="shared" si="20"/>
        <v>0.58571976089716515</v>
      </c>
      <c r="AD62" s="51">
        <f t="shared" si="20"/>
        <v>0.5910566390748665</v>
      </c>
      <c r="AE62" s="71">
        <f>SUM(AA62:AD62)/3</f>
        <v>0.80823103835717613</v>
      </c>
    </row>
    <row r="63" spans="1:31" x14ac:dyDescent="0.25">
      <c r="A63" s="14" t="s">
        <v>3</v>
      </c>
      <c r="B63" s="54">
        <f t="shared" ref="B63:M63" si="21">(3/B55)</f>
        <v>0.59590921625232485</v>
      </c>
      <c r="C63" s="50">
        <f t="shared" si="21"/>
        <v>0.64229435208169028</v>
      </c>
      <c r="D63" s="50">
        <f t="shared" si="21"/>
        <v>0.58090259673766464</v>
      </c>
      <c r="E63" s="50">
        <f t="shared" si="21"/>
        <v>0.66622733037925108</v>
      </c>
      <c r="F63" s="50">
        <f t="shared" si="21"/>
        <v>0.66350218588517684</v>
      </c>
      <c r="G63" s="50">
        <f t="shared" si="21"/>
        <v>0.62148943148914337</v>
      </c>
      <c r="H63" s="50">
        <f t="shared" si="21"/>
        <v>0.61916844900133128</v>
      </c>
      <c r="I63" s="50">
        <f t="shared" si="21"/>
        <v>0.64405199169996385</v>
      </c>
      <c r="J63" s="50">
        <f t="shared" si="21"/>
        <v>0.65435378877281747</v>
      </c>
      <c r="K63" s="50">
        <f t="shared" si="21"/>
        <v>0.67665283619273586</v>
      </c>
      <c r="L63" s="50">
        <f t="shared" si="21"/>
        <v>0.68836088665699458</v>
      </c>
      <c r="M63" s="51">
        <f t="shared" si="21"/>
        <v>0.64263515154609185</v>
      </c>
      <c r="N63" s="64">
        <f>SUM(B63:M63)/12</f>
        <v>0.64129568472459886</v>
      </c>
      <c r="O63" s="54">
        <f t="shared" ref="O63:Z63" si="22">(3/O55)</f>
        <v>0.7426058368938977</v>
      </c>
      <c r="P63" s="50">
        <f t="shared" si="22"/>
        <v>0.65918522269684987</v>
      </c>
      <c r="Q63" s="50">
        <f t="shared" si="22"/>
        <v>0.72016049493626522</v>
      </c>
      <c r="R63" s="50">
        <f t="shared" si="22"/>
        <v>0.65652282976143062</v>
      </c>
      <c r="S63" s="50">
        <f t="shared" si="22"/>
        <v>0.75502337487617988</v>
      </c>
      <c r="T63" s="50">
        <f t="shared" si="22"/>
        <v>0.65959867882489109</v>
      </c>
      <c r="U63" s="50">
        <f t="shared" si="22"/>
        <v>0.52100582374187709</v>
      </c>
      <c r="V63" s="50">
        <f t="shared" si="22"/>
        <v>0.56979582059679124</v>
      </c>
      <c r="W63" s="50">
        <f t="shared" si="22"/>
        <v>0.62746518884636437</v>
      </c>
      <c r="X63" s="50">
        <f t="shared" si="22"/>
        <v>0.69557640687689781</v>
      </c>
      <c r="Y63" s="50">
        <f t="shared" si="22"/>
        <v>0.68090035797601045</v>
      </c>
      <c r="Z63" s="51">
        <f t="shared" si="22"/>
        <v>0.65748690277145627</v>
      </c>
      <c r="AA63" s="64">
        <f>SUM(O63:Z63)/12</f>
        <v>0.66211057823324271</v>
      </c>
      <c r="AB63" s="54">
        <f t="shared" ref="AB63:AD63" si="23">(3/AB55)</f>
        <v>0.80688428816795121</v>
      </c>
      <c r="AC63" s="50">
        <f t="shared" si="23"/>
        <v>0.74169019507833533</v>
      </c>
      <c r="AD63" s="51">
        <f t="shared" si="23"/>
        <v>0.66979973053148234</v>
      </c>
      <c r="AE63" s="71">
        <f>SUM(AA63:AD63)/3</f>
        <v>0.96016159733700379</v>
      </c>
    </row>
    <row r="64" spans="1:31" ht="17" thickBot="1" x14ac:dyDescent="0.3">
      <c r="A64" s="15" t="s">
        <v>4</v>
      </c>
      <c r="B64" s="55">
        <f t="shared" ref="B64:M64" si="24">(3/B56)</f>
        <v>0.35982890809571932</v>
      </c>
      <c r="C64" s="52">
        <f t="shared" si="24"/>
        <v>0.34175486829383805</v>
      </c>
      <c r="D64" s="52">
        <f t="shared" si="24"/>
        <v>0.30392907422968474</v>
      </c>
      <c r="E64" s="52">
        <f t="shared" si="24"/>
        <v>0.4512337775889812</v>
      </c>
      <c r="F64" s="52">
        <f t="shared" si="24"/>
        <v>0.58386605081334542</v>
      </c>
      <c r="G64" s="52">
        <f t="shared" si="24"/>
        <v>0.43615642016365475</v>
      </c>
      <c r="H64" s="52">
        <f t="shared" si="24"/>
        <v>0.43209301754441415</v>
      </c>
      <c r="I64" s="52">
        <f t="shared" si="24"/>
        <v>0.45460557125616013</v>
      </c>
      <c r="J64" s="52">
        <f t="shared" si="24"/>
        <v>0.42734859122987595</v>
      </c>
      <c r="K64" s="52">
        <f t="shared" si="24"/>
        <v>0.4440284168136181</v>
      </c>
      <c r="L64" s="52">
        <f t="shared" si="24"/>
        <v>0.45190290920486442</v>
      </c>
      <c r="M64" s="53">
        <f t="shared" si="24"/>
        <v>0.40484131405229185</v>
      </c>
      <c r="N64" s="66">
        <f>SUM(B64:M64)/12</f>
        <v>0.42429907660720406</v>
      </c>
      <c r="O64" s="105">
        <f t="shared" ref="O64:Z64" si="25">(3/O56)</f>
        <v>0.4805643487014486</v>
      </c>
      <c r="P64" s="52">
        <f t="shared" si="25"/>
        <v>0.42630095238948207</v>
      </c>
      <c r="Q64" s="52">
        <f t="shared" si="25"/>
        <v>0.40929075477558308</v>
      </c>
      <c r="R64" s="52">
        <f t="shared" si="25"/>
        <v>0.39690714507195834</v>
      </c>
      <c r="S64" s="52">
        <f t="shared" si="25"/>
        <v>0.41416796744157791</v>
      </c>
      <c r="T64" s="52">
        <f t="shared" si="25"/>
        <v>0.43122554131799934</v>
      </c>
      <c r="U64" s="52">
        <f t="shared" si="25"/>
        <v>0.35076254161751774</v>
      </c>
      <c r="V64" s="52">
        <f t="shared" si="25"/>
        <v>0.42860694522977555</v>
      </c>
      <c r="W64" s="52">
        <f t="shared" si="25"/>
        <v>0.42339628016695591</v>
      </c>
      <c r="X64" s="52">
        <f t="shared" si="25"/>
        <v>0.43123173381212637</v>
      </c>
      <c r="Y64" s="52">
        <f t="shared" si="25"/>
        <v>0.43565623841967527</v>
      </c>
      <c r="Z64" s="53">
        <f t="shared" si="25"/>
        <v>0.42276086012278891</v>
      </c>
      <c r="AA64" s="66">
        <f>SUM(O64:Z64)/12</f>
        <v>0.42090594242224072</v>
      </c>
      <c r="AB64" s="105">
        <f t="shared" ref="AB64:AD64" si="26">(3/AB56)</f>
        <v>0.52596047210350982</v>
      </c>
      <c r="AC64" s="52">
        <f t="shared" si="26"/>
        <v>0.48088476846992406</v>
      </c>
      <c r="AD64" s="53">
        <f t="shared" si="26"/>
        <v>0.48282057497518732</v>
      </c>
      <c r="AE64" s="106">
        <f>SUM(AA64:AD64)/3</f>
        <v>0.63685725265695392</v>
      </c>
    </row>
    <row r="65" spans="1:31" ht="17" thickBot="1" x14ac:dyDescent="0.3">
      <c r="A65" s="23" t="s">
        <v>13</v>
      </c>
      <c r="B65" s="56">
        <f>(SUM(B61:B64)/4)</f>
        <v>0.49916079187379736</v>
      </c>
      <c r="C65" s="57">
        <f t="shared" ref="C65" si="27">(SUM(C61:C64)/4)</f>
        <v>0.43120039290113688</v>
      </c>
      <c r="D65" s="57">
        <f t="shared" ref="D65" si="28">(SUM(D61:D64)/4)</f>
        <v>0.4036131417706863</v>
      </c>
      <c r="E65" s="57">
        <f t="shared" ref="E65" si="29">(SUM(E61:E64)/4)</f>
        <v>0.52843734629821659</v>
      </c>
      <c r="F65" s="57">
        <f t="shared" ref="F65" si="30">(SUM(F61:F64)/4)</f>
        <v>0.53634831033594632</v>
      </c>
      <c r="G65" s="57">
        <f t="shared" ref="G65" si="31">(SUM(G61:G64)/4)</f>
        <v>0.49826930792481644</v>
      </c>
      <c r="H65" s="57">
        <f t="shared" ref="H65" si="32">(SUM(H61:H64)/4)</f>
        <v>0.49623261570655991</v>
      </c>
      <c r="I65" s="57">
        <f t="shared" ref="I65" si="33">(SUM(I61:I64)/4)</f>
        <v>0.52336186574229959</v>
      </c>
      <c r="J65" s="57">
        <f t="shared" ref="J65" si="34">(SUM(J61:J64)/4)</f>
        <v>0.50556420667960267</v>
      </c>
      <c r="K65" s="57">
        <f t="shared" ref="K65" si="35">(SUM(K61:K64)/4)</f>
        <v>0.54683020936833837</v>
      </c>
      <c r="L65" s="57">
        <f t="shared" ref="L65" si="36">(SUM(L61:L64)/4)</f>
        <v>0.55685723752345884</v>
      </c>
      <c r="M65" s="58">
        <f t="shared" ref="M65" si="37">(SUM(M61:M64)/4)</f>
        <v>0.50632907827513085</v>
      </c>
      <c r="N65" s="107">
        <f>SUM(B65:M65)/12</f>
        <v>0.50268370869999923</v>
      </c>
      <c r="O65" s="56">
        <f t="shared" ref="O65" si="38">(SUM(O61:O64)/4)</f>
        <v>0.59350933072220946</v>
      </c>
      <c r="P65" s="57">
        <f t="shared" ref="P65" si="39">(SUM(P61:P64)/4)</f>
        <v>0.52526251592626783</v>
      </c>
      <c r="Q65" s="57">
        <f t="shared" ref="Q65" si="40">(SUM(Q61:Q64)/4)</f>
        <v>0.53809345845502321</v>
      </c>
      <c r="R65" s="57">
        <f t="shared" ref="R65" si="41">(SUM(R61:R64)/4)</f>
        <v>0.50291146199270576</v>
      </c>
      <c r="S65" s="57">
        <f t="shared" ref="S65" si="42">(SUM(S61:S64)/4)</f>
        <v>0.54886374687571671</v>
      </c>
      <c r="T65" s="57">
        <f t="shared" ref="T65" si="43">(SUM(T61:T64)/4)</f>
        <v>0.51685000964781602</v>
      </c>
      <c r="U65" s="57">
        <f t="shared" ref="U65" si="44">(SUM(U61:U64)/4)</f>
        <v>0.42075657629251645</v>
      </c>
      <c r="V65" s="57">
        <f t="shared" ref="V65" si="45">(SUM(V61:V64)/4)</f>
        <v>0.4926270703820067</v>
      </c>
      <c r="W65" s="57">
        <f t="shared" ref="W65" si="46">(SUM(W61:W64)/4)</f>
        <v>0.50669093003932808</v>
      </c>
      <c r="X65" s="57">
        <f t="shared" ref="X65" si="47">(SUM(X61:X64)/4)</f>
        <v>0.54114430896924359</v>
      </c>
      <c r="Y65" s="57">
        <f t="shared" ref="Y65" si="48">(SUM(Y61:Y64)/4)</f>
        <v>0.53076833408366175</v>
      </c>
      <c r="Z65" s="61">
        <f t="shared" ref="Z65" si="49">(SUM(Z61:Z64)/4)</f>
        <v>0.50684247706521257</v>
      </c>
      <c r="AA65" s="107">
        <f>SUM(O65:Z65)/12</f>
        <v>0.51869335170430908</v>
      </c>
      <c r="AB65" s="56">
        <f t="shared" ref="AB65" si="50">(SUM(AB61:AB64)/4)</f>
        <v>0.64823588205807403</v>
      </c>
      <c r="AC65" s="57">
        <f t="shared" ref="AC65" si="51">(SUM(AC61:AC64)/4)</f>
        <v>0.57240620515237151</v>
      </c>
      <c r="AD65" s="61">
        <f t="shared" ref="AD65" si="52">(SUM(AD61:AD64)/4)</f>
        <v>0.5558656458138902</v>
      </c>
      <c r="AE65" s="108">
        <f>SUM(AA65:AD65)/3</f>
        <v>0.76506702824288164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6239-C143-784C-A7E2-26A0112BF5E0}">
  <dimension ref="A2:AE32"/>
  <sheetViews>
    <sheetView workbookViewId="0">
      <selection activeCell="P13" sqref="P13"/>
    </sheetView>
  </sheetViews>
  <sheetFormatPr baseColWidth="10" defaultRowHeight="16" x14ac:dyDescent="0.25"/>
  <cols>
    <col min="1" max="1" width="22" bestFit="1" customWidth="1"/>
    <col min="14" max="14" width="18" customWidth="1"/>
    <col min="27" max="27" width="18" customWidth="1"/>
    <col min="31" max="31" width="18" customWidth="1"/>
  </cols>
  <sheetData>
    <row r="2" spans="1:31" ht="17" thickBot="1" x14ac:dyDescent="0.3">
      <c r="A2" t="s">
        <v>19</v>
      </c>
    </row>
    <row r="3" spans="1:31" ht="25" customHeight="1" thickBot="1" x14ac:dyDescent="0.3">
      <c r="A3" s="13"/>
      <c r="B3" s="20">
        <v>45292</v>
      </c>
      <c r="C3" s="21">
        <v>45323</v>
      </c>
      <c r="D3" s="21">
        <v>45352</v>
      </c>
      <c r="E3" s="21">
        <v>45383</v>
      </c>
      <c r="F3" s="21">
        <v>45413</v>
      </c>
      <c r="G3" s="21">
        <v>45444</v>
      </c>
      <c r="H3" s="21">
        <v>45474</v>
      </c>
      <c r="I3" s="21">
        <v>45505</v>
      </c>
      <c r="J3" s="21">
        <v>45536</v>
      </c>
      <c r="K3" s="21">
        <v>45566</v>
      </c>
      <c r="L3" s="21">
        <v>45597</v>
      </c>
      <c r="M3" s="30">
        <v>45627</v>
      </c>
      <c r="N3" s="29" t="s">
        <v>16</v>
      </c>
      <c r="O3" s="22">
        <v>45658</v>
      </c>
      <c r="P3" s="21">
        <v>45689</v>
      </c>
      <c r="Q3" s="21">
        <v>45717</v>
      </c>
      <c r="R3" s="21">
        <v>45748</v>
      </c>
      <c r="S3" s="21">
        <v>45778</v>
      </c>
      <c r="T3" s="21">
        <v>45809</v>
      </c>
      <c r="U3" s="21">
        <v>45839</v>
      </c>
      <c r="V3" s="21">
        <v>45870</v>
      </c>
      <c r="W3" s="21">
        <v>45901</v>
      </c>
      <c r="X3" s="21">
        <v>45931</v>
      </c>
      <c r="Y3" s="21">
        <v>45962</v>
      </c>
      <c r="Z3" s="30">
        <v>45992</v>
      </c>
      <c r="AA3" s="29" t="s">
        <v>17</v>
      </c>
      <c r="AB3" s="22">
        <v>46023</v>
      </c>
      <c r="AC3" s="21">
        <v>46054</v>
      </c>
      <c r="AD3" s="30">
        <v>46082</v>
      </c>
      <c r="AE3" s="41" t="s">
        <v>18</v>
      </c>
    </row>
    <row r="4" spans="1:31" ht="25" customHeight="1" x14ac:dyDescent="0.25">
      <c r="A4" s="14" t="s">
        <v>1</v>
      </c>
      <c r="B4" s="18">
        <v>735360.56</v>
      </c>
      <c r="C4" s="19">
        <v>713171.14</v>
      </c>
      <c r="D4" s="19">
        <v>766720.57</v>
      </c>
      <c r="E4" s="19">
        <v>744113.04</v>
      </c>
      <c r="F4" s="19">
        <v>717232.72499999998</v>
      </c>
      <c r="G4" s="19">
        <v>714849.96</v>
      </c>
      <c r="H4" s="19">
        <v>782108.47</v>
      </c>
      <c r="I4" s="19">
        <v>699968.06990000012</v>
      </c>
      <c r="J4" s="19">
        <v>767588.68609499978</v>
      </c>
      <c r="K4" s="19">
        <v>813656.25199833338</v>
      </c>
      <c r="L4" s="19">
        <v>781340.159331111</v>
      </c>
      <c r="M4" s="32">
        <v>801327.68247481482</v>
      </c>
      <c r="N4" s="31">
        <f>SUM(B4:M4)</f>
        <v>9037437.3147992585</v>
      </c>
      <c r="O4" s="18">
        <v>759362.77282846556</v>
      </c>
      <c r="P4" s="19">
        <v>763809.97</v>
      </c>
      <c r="Q4" s="19">
        <v>839256.28489999997</v>
      </c>
      <c r="R4" s="19">
        <v>791468.61530000006</v>
      </c>
      <c r="S4" s="19">
        <v>759241.72499999998</v>
      </c>
      <c r="T4" s="19">
        <v>776005.69310000003</v>
      </c>
      <c r="U4" s="19">
        <v>618236.04067499982</v>
      </c>
      <c r="V4" s="19">
        <v>801182.34699870972</v>
      </c>
      <c r="W4" s="19">
        <v>728611.64384164219</v>
      </c>
      <c r="X4" s="19">
        <v>682861.49517630413</v>
      </c>
      <c r="Y4" s="19">
        <v>731831</v>
      </c>
      <c r="Z4" s="39">
        <v>736509.03548051952</v>
      </c>
      <c r="AA4" s="31">
        <f>SUM(O4:Z4)</f>
        <v>8988376.6233006399</v>
      </c>
      <c r="AB4" s="18">
        <v>756794.79356005602</v>
      </c>
      <c r="AC4" s="19">
        <v>656825.08100000094</v>
      </c>
      <c r="AD4" s="39">
        <v>771920.68934022554</v>
      </c>
      <c r="AE4" s="42">
        <f>SUM(AB4:AD4)</f>
        <v>2185540.5639002826</v>
      </c>
    </row>
    <row r="5" spans="1:31" ht="25" customHeight="1" x14ac:dyDescent="0.25">
      <c r="A5" s="14" t="s">
        <v>2</v>
      </c>
      <c r="B5" s="11">
        <v>488012.00799999997</v>
      </c>
      <c r="C5" s="9">
        <v>473286.30199999997</v>
      </c>
      <c r="D5" s="9">
        <v>508823.65100000001</v>
      </c>
      <c r="E5" s="9">
        <v>493820.47199999995</v>
      </c>
      <c r="F5" s="9">
        <v>475981.71750000003</v>
      </c>
      <c r="G5" s="9">
        <v>474400.42799999996</v>
      </c>
      <c r="H5" s="9">
        <v>519035.62100000004</v>
      </c>
      <c r="I5" s="9">
        <v>464524.26457</v>
      </c>
      <c r="J5" s="9">
        <v>509399.76440849982</v>
      </c>
      <c r="K5" s="9">
        <v>539971.87632616668</v>
      </c>
      <c r="L5" s="9">
        <v>518525.74210155552</v>
      </c>
      <c r="M5" s="34">
        <v>531790.18927874067</v>
      </c>
      <c r="N5" s="33">
        <f>SUM(B5:M5)</f>
        <v>5997572.0361849619</v>
      </c>
      <c r="O5" s="11">
        <v>523940.749240709</v>
      </c>
      <c r="P5" s="9">
        <v>506892.071</v>
      </c>
      <c r="Q5" s="9">
        <v>556960.98907000001</v>
      </c>
      <c r="R5" s="9">
        <v>525247.35378999996</v>
      </c>
      <c r="S5" s="9">
        <v>503860.41749999998</v>
      </c>
      <c r="T5" s="9">
        <v>514985.59633000003</v>
      </c>
      <c r="U5" s="9">
        <v>410283.91790250002</v>
      </c>
      <c r="V5" s="9">
        <v>531693.73937187099</v>
      </c>
      <c r="W5" s="9">
        <v>531057.38384164218</v>
      </c>
      <c r="X5" s="9">
        <v>516953.0300763041</v>
      </c>
      <c r="Y5" s="9">
        <v>514376</v>
      </c>
      <c r="Z5" s="34">
        <v>523011.06519480527</v>
      </c>
      <c r="AA5" s="33">
        <f>SUM(O5:Z5)</f>
        <v>6159262.3133178325</v>
      </c>
      <c r="AB5" s="11">
        <v>538139.71527434175</v>
      </c>
      <c r="AC5" s="9">
        <v>460812.28399999999</v>
      </c>
      <c r="AD5" s="34">
        <v>546073.45200000005</v>
      </c>
      <c r="AE5" s="43">
        <f>SUM(AB5:AD5)</f>
        <v>1545025.4512743419</v>
      </c>
    </row>
    <row r="6" spans="1:31" ht="25" customHeight="1" x14ac:dyDescent="0.25">
      <c r="A6" s="14" t="s">
        <v>3</v>
      </c>
      <c r="B6" s="11">
        <v>267403.84000000003</v>
      </c>
      <c r="C6" s="9">
        <v>259334.96</v>
      </c>
      <c r="D6" s="9">
        <v>278807.48</v>
      </c>
      <c r="E6" s="9">
        <v>270586.56</v>
      </c>
      <c r="F6" s="9">
        <v>260811.9</v>
      </c>
      <c r="G6" s="9">
        <v>259945.44</v>
      </c>
      <c r="H6" s="9">
        <v>284403.08</v>
      </c>
      <c r="I6" s="9">
        <v>254533.84360000002</v>
      </c>
      <c r="J6" s="9">
        <v>279123.15857999993</v>
      </c>
      <c r="K6" s="9">
        <v>295875.00072666665</v>
      </c>
      <c r="L6" s="9">
        <v>284123.69430222223</v>
      </c>
      <c r="M6" s="34">
        <v>291391.8845362963</v>
      </c>
      <c r="N6" s="33">
        <f>SUM(B6:M6)</f>
        <v>3286340.8417451852</v>
      </c>
      <c r="O6" s="11">
        <v>276131.9173921693</v>
      </c>
      <c r="P6" s="9">
        <v>277749.08</v>
      </c>
      <c r="Q6" s="9">
        <v>305184.10359999997</v>
      </c>
      <c r="R6" s="9">
        <v>287806.76919999998</v>
      </c>
      <c r="S6" s="9">
        <v>276087.90000000002</v>
      </c>
      <c r="T6" s="9">
        <v>282183.8884</v>
      </c>
      <c r="U6" s="9">
        <v>224813.10570000001</v>
      </c>
      <c r="V6" s="9">
        <v>291339.0352722581</v>
      </c>
      <c r="W6" s="9">
        <v>284675.63384164212</v>
      </c>
      <c r="X6" s="9">
        <v>264133.62507630407</v>
      </c>
      <c r="Y6" s="9">
        <v>262779</v>
      </c>
      <c r="Z6" s="34">
        <v>295614.98519480525</v>
      </c>
      <c r="AA6" s="33">
        <f>SUM(O6:Z6)</f>
        <v>3328499.0436771787</v>
      </c>
      <c r="AB6" s="11">
        <v>304492.5952743417</v>
      </c>
      <c r="AC6" s="9">
        <v>258915.04399999999</v>
      </c>
      <c r="AD6" s="34">
        <v>308650.212</v>
      </c>
      <c r="AE6" s="43">
        <f>SUM(AB6:AD6)</f>
        <v>872057.85127434181</v>
      </c>
    </row>
    <row r="7" spans="1:31" ht="25" customHeight="1" thickBot="1" x14ac:dyDescent="0.3">
      <c r="A7" s="15" t="s">
        <v>4</v>
      </c>
      <c r="B7" s="26">
        <v>314199.51200000005</v>
      </c>
      <c r="C7" s="27">
        <v>316194</v>
      </c>
      <c r="D7" s="27">
        <v>327598.78900000005</v>
      </c>
      <c r="E7" s="27">
        <v>317939.20799999998</v>
      </c>
      <c r="F7" s="27">
        <v>306453.98249999998</v>
      </c>
      <c r="G7" s="27">
        <v>305435.89200000005</v>
      </c>
      <c r="H7" s="27">
        <v>334173.61900000001</v>
      </c>
      <c r="I7" s="27">
        <v>299077.26623000001</v>
      </c>
      <c r="J7" s="27">
        <v>327969.71133149992</v>
      </c>
      <c r="K7" s="27">
        <v>347653.12585383333</v>
      </c>
      <c r="L7" s="27">
        <v>333845.3408051111</v>
      </c>
      <c r="M7" s="36">
        <v>342385.46433014818</v>
      </c>
      <c r="N7" s="35">
        <f>SUM(B7:M7)</f>
        <v>3872925.9110505925</v>
      </c>
      <c r="O7" s="28">
        <v>398455.00293579901</v>
      </c>
      <c r="P7" s="27">
        <v>326355.16899999999</v>
      </c>
      <c r="Q7" s="27">
        <v>358591.32173000003</v>
      </c>
      <c r="R7" s="27">
        <v>338172.95380999998</v>
      </c>
      <c r="S7" s="27">
        <v>324403.28249999997</v>
      </c>
      <c r="T7" s="27">
        <v>331566.06887000002</v>
      </c>
      <c r="U7" s="27">
        <v>304155.39919750002</v>
      </c>
      <c r="V7" s="27">
        <v>342323.36644490325</v>
      </c>
      <c r="W7" s="27">
        <v>383228.33384164219</v>
      </c>
      <c r="X7" s="27">
        <v>365261.38707630412</v>
      </c>
      <c r="Y7" s="27">
        <v>363418</v>
      </c>
      <c r="Z7" s="36">
        <v>369518.63</v>
      </c>
      <c r="AA7" s="35">
        <f>SUM(O7:Z7)</f>
        <v>4205448.9154061489</v>
      </c>
      <c r="AB7" s="28">
        <v>380427.90927434171</v>
      </c>
      <c r="AC7" s="27">
        <v>324531.647</v>
      </c>
      <c r="AD7" s="36">
        <v>385812.76500000001</v>
      </c>
      <c r="AE7" s="44">
        <f>SUM(AB7:AD7)</f>
        <v>1090772.3212743415</v>
      </c>
    </row>
    <row r="8" spans="1:31" ht="25" customHeight="1" thickBot="1" x14ac:dyDescent="0.3">
      <c r="A8" s="23" t="s">
        <v>13</v>
      </c>
      <c r="B8" s="24">
        <f>SUM(B4:B7)</f>
        <v>1804975.9200000002</v>
      </c>
      <c r="C8" s="24">
        <f t="shared" ref="C8:L8" si="0">SUM(C4:C7)</f>
        <v>1761986.402</v>
      </c>
      <c r="D8" s="24">
        <f t="shared" si="0"/>
        <v>1881950.49</v>
      </c>
      <c r="E8" s="24">
        <f t="shared" si="0"/>
        <v>1826459.2800000003</v>
      </c>
      <c r="F8" s="24">
        <f t="shared" si="0"/>
        <v>1760480.3249999997</v>
      </c>
      <c r="G8" s="24">
        <f t="shared" si="0"/>
        <v>1754631.7199999997</v>
      </c>
      <c r="H8" s="24">
        <f t="shared" si="0"/>
        <v>1919720.79</v>
      </c>
      <c r="I8" s="24">
        <f t="shared" si="0"/>
        <v>1718103.4443000001</v>
      </c>
      <c r="J8" s="24">
        <f t="shared" si="0"/>
        <v>1884081.3204149997</v>
      </c>
      <c r="K8" s="24">
        <f t="shared" si="0"/>
        <v>1997156.2549049999</v>
      </c>
      <c r="L8" s="24">
        <f t="shared" si="0"/>
        <v>1917834.9365399997</v>
      </c>
      <c r="M8" s="38">
        <f>SUM(M4:M7)</f>
        <v>1966895.22062</v>
      </c>
      <c r="N8" s="37">
        <f>SUM(B8:M8)</f>
        <v>22194276.103779994</v>
      </c>
      <c r="O8" s="24">
        <f t="shared" ref="O8:Z8" si="1">SUM(O4:O7)</f>
        <v>1957890.442397143</v>
      </c>
      <c r="P8" s="24">
        <f t="shared" si="1"/>
        <v>1874806.29</v>
      </c>
      <c r="Q8" s="24">
        <f t="shared" si="1"/>
        <v>2059992.6993</v>
      </c>
      <c r="R8" s="24">
        <f t="shared" si="1"/>
        <v>1942695.6921000001</v>
      </c>
      <c r="S8" s="24">
        <f t="shared" si="1"/>
        <v>1863593.325</v>
      </c>
      <c r="T8" s="24">
        <f t="shared" si="1"/>
        <v>1904741.2467000003</v>
      </c>
      <c r="U8" s="24">
        <f t="shared" si="1"/>
        <v>1557488.4634749999</v>
      </c>
      <c r="V8" s="24">
        <f t="shared" si="1"/>
        <v>1966538.4880877421</v>
      </c>
      <c r="W8" s="24">
        <f t="shared" si="1"/>
        <v>1927572.9953665687</v>
      </c>
      <c r="X8" s="24">
        <f t="shared" si="1"/>
        <v>1829209.5374052164</v>
      </c>
      <c r="Y8" s="24">
        <f t="shared" si="1"/>
        <v>1872404</v>
      </c>
      <c r="Z8" s="38">
        <f t="shared" si="1"/>
        <v>1924653.7158701303</v>
      </c>
      <c r="AA8" s="37">
        <f>SUM(O8:Z8)</f>
        <v>22681586.8957018</v>
      </c>
      <c r="AB8" s="24">
        <f>SUM(AB4:AB7)</f>
        <v>1979855.0133830814</v>
      </c>
      <c r="AC8" s="25">
        <f>SUM(AC4:AC7)</f>
        <v>1701084.0560000008</v>
      </c>
      <c r="AD8" s="40">
        <f>SUM(AD4:AD7)</f>
        <v>2012457.1183402254</v>
      </c>
      <c r="AE8" s="45">
        <f>SUM(AB8:AD8)</f>
        <v>5693396.1877233069</v>
      </c>
    </row>
    <row r="10" spans="1:31" s="7" customFormat="1" ht="25" customHeight="1" thickBot="1" x14ac:dyDescent="0.3">
      <c r="A10" s="12" t="s">
        <v>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7"/>
    </row>
    <row r="11" spans="1:31" s="7" customFormat="1" ht="25" customHeight="1" thickBot="1" x14ac:dyDescent="0.3">
      <c r="A11" s="13"/>
      <c r="B11" s="20">
        <v>45292</v>
      </c>
      <c r="C11" s="21">
        <v>45323</v>
      </c>
      <c r="D11" s="21">
        <v>45352</v>
      </c>
      <c r="E11" s="21">
        <v>45383</v>
      </c>
      <c r="F11" s="21">
        <v>45413</v>
      </c>
      <c r="G11" s="21">
        <v>45444</v>
      </c>
      <c r="H11" s="21">
        <v>45474</v>
      </c>
      <c r="I11" s="21">
        <v>45505</v>
      </c>
      <c r="J11" s="21">
        <v>45536</v>
      </c>
      <c r="K11" s="21">
        <v>45566</v>
      </c>
      <c r="L11" s="21">
        <v>45597</v>
      </c>
      <c r="M11" s="30">
        <v>45627</v>
      </c>
      <c r="N11" s="29" t="s">
        <v>16</v>
      </c>
      <c r="O11" s="22">
        <v>45658</v>
      </c>
      <c r="P11" s="21">
        <v>45689</v>
      </c>
      <c r="Q11" s="21">
        <v>45717</v>
      </c>
      <c r="R11" s="21">
        <v>45748</v>
      </c>
      <c r="S11" s="21">
        <v>45778</v>
      </c>
      <c r="T11" s="21">
        <v>45809</v>
      </c>
      <c r="U11" s="21">
        <v>45839</v>
      </c>
      <c r="V11" s="21">
        <v>45870</v>
      </c>
      <c r="W11" s="21">
        <v>45901</v>
      </c>
      <c r="X11" s="21">
        <v>45931</v>
      </c>
      <c r="Y11" s="21">
        <v>45962</v>
      </c>
      <c r="Z11" s="30">
        <v>45992</v>
      </c>
      <c r="AA11" s="29" t="s">
        <v>17</v>
      </c>
      <c r="AB11" s="22">
        <v>46023</v>
      </c>
      <c r="AC11" s="21">
        <v>46054</v>
      </c>
      <c r="AD11" s="30">
        <v>46082</v>
      </c>
      <c r="AE11" s="41" t="s">
        <v>18</v>
      </c>
    </row>
    <row r="12" spans="1:31" s="7" customFormat="1" ht="25" customHeight="1" x14ac:dyDescent="0.25">
      <c r="A12" s="14" t="s">
        <v>1</v>
      </c>
      <c r="B12" s="18">
        <v>412173</v>
      </c>
      <c r="C12" s="19">
        <v>398334</v>
      </c>
      <c r="D12" s="19">
        <v>381159</v>
      </c>
      <c r="E12" s="19">
        <v>415800</v>
      </c>
      <c r="F12" s="19">
        <v>367747</v>
      </c>
      <c r="G12" s="19">
        <v>382986</v>
      </c>
      <c r="H12" s="19">
        <v>374590</v>
      </c>
      <c r="I12" s="19">
        <v>392853</v>
      </c>
      <c r="J12" s="19">
        <v>368950</v>
      </c>
      <c r="K12" s="19">
        <v>401314</v>
      </c>
      <c r="L12" s="19">
        <v>388369</v>
      </c>
      <c r="M12" s="32">
        <v>376002</v>
      </c>
      <c r="N12" s="31">
        <f>SUM(B12:M12)</f>
        <v>4660277</v>
      </c>
      <c r="O12" s="18">
        <v>425186</v>
      </c>
      <c r="P12" s="19">
        <v>379817</v>
      </c>
      <c r="Q12" s="19">
        <v>409323</v>
      </c>
      <c r="R12" s="19">
        <v>381930</v>
      </c>
      <c r="S12" s="19">
        <v>385465</v>
      </c>
      <c r="T12" s="19">
        <v>397448</v>
      </c>
      <c r="U12" s="19">
        <v>326771</v>
      </c>
      <c r="V12" s="19">
        <v>357605</v>
      </c>
      <c r="W12" s="19">
        <v>397302.87</v>
      </c>
      <c r="X12" s="19">
        <v>396867</v>
      </c>
      <c r="Y12" s="19">
        <v>417772</v>
      </c>
      <c r="Z12" s="39">
        <v>388056</v>
      </c>
      <c r="AA12" s="31">
        <f>SUM(O12:Z12)</f>
        <v>4663542.87</v>
      </c>
      <c r="AB12" s="18">
        <v>425326</v>
      </c>
      <c r="AC12" s="19">
        <v>392393</v>
      </c>
      <c r="AD12" s="39">
        <v>389624</v>
      </c>
      <c r="AE12" s="42">
        <f>SUM(AB12:AD12)</f>
        <v>1207343</v>
      </c>
    </row>
    <row r="13" spans="1:31" s="7" customFormat="1" ht="25" customHeight="1" x14ac:dyDescent="0.25">
      <c r="A13" s="14" t="s">
        <v>2</v>
      </c>
      <c r="B13" s="11">
        <v>352291</v>
      </c>
      <c r="C13" s="9">
        <v>270020</v>
      </c>
      <c r="D13" s="9">
        <v>280064</v>
      </c>
      <c r="E13" s="9">
        <v>282893</v>
      </c>
      <c r="F13" s="9">
        <v>255040</v>
      </c>
      <c r="G13" s="9">
        <v>272062</v>
      </c>
      <c r="H13" s="9">
        <v>246715</v>
      </c>
      <c r="I13" s="9">
        <v>277318</v>
      </c>
      <c r="J13" s="9">
        <v>256719</v>
      </c>
      <c r="K13" s="9">
        <v>257341</v>
      </c>
      <c r="L13" s="9">
        <v>299957</v>
      </c>
      <c r="M13" s="34">
        <v>249730</v>
      </c>
      <c r="N13" s="33">
        <f>SUM(B13:M13)</f>
        <v>3300150</v>
      </c>
      <c r="O13" s="11">
        <v>337351</v>
      </c>
      <c r="P13" s="9">
        <v>292503</v>
      </c>
      <c r="Q13" s="9">
        <v>289603</v>
      </c>
      <c r="R13" s="9">
        <v>272703</v>
      </c>
      <c r="S13" s="9">
        <v>298376</v>
      </c>
      <c r="T13" s="9">
        <v>279813</v>
      </c>
      <c r="U13" s="9">
        <v>221569</v>
      </c>
      <c r="V13" s="9">
        <v>300432</v>
      </c>
      <c r="W13" s="9">
        <v>275556</v>
      </c>
      <c r="X13" s="9">
        <v>321512</v>
      </c>
      <c r="Y13" s="9">
        <v>305633</v>
      </c>
      <c r="Z13" s="34">
        <v>283807</v>
      </c>
      <c r="AA13" s="33">
        <f>SUM(O13:Z13)</f>
        <v>3478858</v>
      </c>
      <c r="AB13" s="11">
        <v>385085</v>
      </c>
      <c r="AC13" s="9">
        <v>309683</v>
      </c>
      <c r="AD13" s="34">
        <v>307220</v>
      </c>
      <c r="AE13" s="43">
        <f>SUM(AB13:AD13)</f>
        <v>1001988</v>
      </c>
    </row>
    <row r="14" spans="1:31" s="7" customFormat="1" ht="25" customHeight="1" x14ac:dyDescent="0.25">
      <c r="A14" s="14" t="s">
        <v>3</v>
      </c>
      <c r="B14" s="11">
        <v>132357</v>
      </c>
      <c r="C14" s="9">
        <v>138760</v>
      </c>
      <c r="D14" s="9">
        <v>136080</v>
      </c>
      <c r="E14" s="9">
        <v>142684</v>
      </c>
      <c r="F14" s="9">
        <v>140465</v>
      </c>
      <c r="G14" s="9">
        <v>130980</v>
      </c>
      <c r="H14" s="9">
        <v>121991</v>
      </c>
      <c r="I14" s="9">
        <v>124574</v>
      </c>
      <c r="J14" s="9">
        <v>137112</v>
      </c>
      <c r="K14" s="9">
        <v>135270</v>
      </c>
      <c r="L14" s="9">
        <v>149186</v>
      </c>
      <c r="M14" s="34">
        <v>133357</v>
      </c>
      <c r="N14" s="33">
        <f>SUM(B14:M14)</f>
        <v>1622816</v>
      </c>
      <c r="O14" s="11">
        <v>169549</v>
      </c>
      <c r="P14" s="9">
        <v>151520</v>
      </c>
      <c r="Q14" s="9">
        <v>157163</v>
      </c>
      <c r="R14" s="9">
        <v>148910</v>
      </c>
      <c r="S14" s="9">
        <v>161638</v>
      </c>
      <c r="T14" s="9">
        <v>152229</v>
      </c>
      <c r="U14" s="9">
        <v>106188</v>
      </c>
      <c r="V14" s="9">
        <v>140013</v>
      </c>
      <c r="W14" s="9">
        <v>140647</v>
      </c>
      <c r="X14" s="9">
        <v>164273</v>
      </c>
      <c r="Y14" s="9">
        <v>159223</v>
      </c>
      <c r="Z14" s="34">
        <v>152725</v>
      </c>
      <c r="AA14" s="33">
        <f>SUM(O14:Z14)</f>
        <v>1804078</v>
      </c>
      <c r="AB14" s="11">
        <v>179351</v>
      </c>
      <c r="AC14" s="9">
        <v>161662</v>
      </c>
      <c r="AD14" s="34">
        <v>151594</v>
      </c>
      <c r="AE14" s="43">
        <f>SUM(AB14:AD14)</f>
        <v>492607</v>
      </c>
    </row>
    <row r="15" spans="1:31" s="7" customFormat="1" ht="25" customHeight="1" thickBot="1" x14ac:dyDescent="0.3">
      <c r="A15" s="15" t="s">
        <v>4</v>
      </c>
      <c r="B15" s="26">
        <v>208009</v>
      </c>
      <c r="C15" s="27">
        <v>199030</v>
      </c>
      <c r="D15" s="27">
        <v>179802</v>
      </c>
      <c r="E15" s="27">
        <v>198138</v>
      </c>
      <c r="F15" s="27">
        <v>255142</v>
      </c>
      <c r="G15" s="27">
        <v>206259</v>
      </c>
      <c r="H15" s="27">
        <v>196494</v>
      </c>
      <c r="I15" s="27">
        <v>207708</v>
      </c>
      <c r="J15" s="27">
        <v>191859</v>
      </c>
      <c r="K15" s="27">
        <v>197266</v>
      </c>
      <c r="L15" s="27">
        <v>206389</v>
      </c>
      <c r="M15" s="36">
        <v>188805</v>
      </c>
      <c r="N15" s="35">
        <f>SUM(B15:M15)</f>
        <v>2434901</v>
      </c>
      <c r="O15" s="28">
        <v>232664</v>
      </c>
      <c r="P15" s="27">
        <v>207604</v>
      </c>
      <c r="Q15" s="27">
        <v>202680</v>
      </c>
      <c r="R15" s="27">
        <v>198094</v>
      </c>
      <c r="S15" s="27">
        <v>202187</v>
      </c>
      <c r="T15" s="27">
        <v>212135</v>
      </c>
      <c r="U15" s="27">
        <v>169770</v>
      </c>
      <c r="V15" s="27">
        <v>208316</v>
      </c>
      <c r="W15" s="27">
        <v>203169</v>
      </c>
      <c r="X15" s="27">
        <v>204949</v>
      </c>
      <c r="Y15" s="27">
        <v>209379</v>
      </c>
      <c r="Z15" s="36">
        <v>197108</v>
      </c>
      <c r="AA15" s="35">
        <f>SUM(O15:Z15)</f>
        <v>2448055</v>
      </c>
      <c r="AB15" s="28">
        <v>223020</v>
      </c>
      <c r="AC15" s="27">
        <v>205740</v>
      </c>
      <c r="AD15" s="36">
        <v>205755</v>
      </c>
      <c r="AE15" s="44">
        <f>SUM(AB15:AD15)</f>
        <v>634515</v>
      </c>
    </row>
    <row r="16" spans="1:31" s="7" customFormat="1" ht="25" customHeight="1" thickBot="1" x14ac:dyDescent="0.3">
      <c r="A16" s="23" t="s">
        <v>13</v>
      </c>
      <c r="B16" s="24">
        <f t="shared" ref="B16:M16" si="2">SUM(B12:B15)</f>
        <v>1104830</v>
      </c>
      <c r="C16" s="24">
        <f t="shared" si="2"/>
        <v>1006144</v>
      </c>
      <c r="D16" s="24">
        <f t="shared" si="2"/>
        <v>977105</v>
      </c>
      <c r="E16" s="24">
        <f t="shared" si="2"/>
        <v>1039515</v>
      </c>
      <c r="F16" s="24">
        <f t="shared" si="2"/>
        <v>1018394</v>
      </c>
      <c r="G16" s="24">
        <f t="shared" si="2"/>
        <v>992287</v>
      </c>
      <c r="H16" s="24">
        <f t="shared" si="2"/>
        <v>939790</v>
      </c>
      <c r="I16" s="24">
        <f t="shared" si="2"/>
        <v>1002453</v>
      </c>
      <c r="J16" s="24">
        <f t="shared" si="2"/>
        <v>954640</v>
      </c>
      <c r="K16" s="24">
        <f t="shared" si="2"/>
        <v>991191</v>
      </c>
      <c r="L16" s="24">
        <f t="shared" si="2"/>
        <v>1043901</v>
      </c>
      <c r="M16" s="38">
        <f t="shared" si="2"/>
        <v>947894</v>
      </c>
      <c r="N16" s="37">
        <f>SUM(B16:M16)</f>
        <v>12018144</v>
      </c>
      <c r="O16" s="24">
        <f t="shared" ref="O16:Z16" si="3">SUM(O12:O15)</f>
        <v>1164750</v>
      </c>
      <c r="P16" s="24">
        <f t="shared" si="3"/>
        <v>1031444</v>
      </c>
      <c r="Q16" s="24">
        <f t="shared" si="3"/>
        <v>1058769</v>
      </c>
      <c r="R16" s="24">
        <f t="shared" si="3"/>
        <v>1001637</v>
      </c>
      <c r="S16" s="24">
        <f t="shared" si="3"/>
        <v>1047666</v>
      </c>
      <c r="T16" s="24">
        <f t="shared" si="3"/>
        <v>1041625</v>
      </c>
      <c r="U16" s="24">
        <f t="shared" si="3"/>
        <v>824298</v>
      </c>
      <c r="V16" s="24">
        <f t="shared" si="3"/>
        <v>1006366</v>
      </c>
      <c r="W16" s="24">
        <f t="shared" si="3"/>
        <v>1016674.87</v>
      </c>
      <c r="X16" s="24">
        <f t="shared" si="3"/>
        <v>1087601</v>
      </c>
      <c r="Y16" s="24">
        <f t="shared" si="3"/>
        <v>1092007</v>
      </c>
      <c r="Z16" s="38">
        <f t="shared" si="3"/>
        <v>1021696</v>
      </c>
      <c r="AA16" s="37">
        <f>SUM(O16:Z16)</f>
        <v>12394533.869999999</v>
      </c>
      <c r="AB16" s="24">
        <f>SUM(AB12:AB15)</f>
        <v>1212782</v>
      </c>
      <c r="AC16" s="25">
        <f>SUM(AC12:AC15)</f>
        <v>1069478</v>
      </c>
      <c r="AD16" s="40">
        <f>SUM(AD12:AD15)</f>
        <v>1054193</v>
      </c>
      <c r="AE16" s="45">
        <f>SUM(AB16:AD16)</f>
        <v>3336453</v>
      </c>
    </row>
    <row r="18" spans="1:31" s="7" customFormat="1" ht="25" customHeight="1" thickBot="1" x14ac:dyDescent="0.3">
      <c r="A18" s="12" t="s">
        <v>21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7"/>
    </row>
    <row r="19" spans="1:31" s="7" customFormat="1" ht="25" customHeight="1" thickBot="1" x14ac:dyDescent="0.3">
      <c r="A19" s="13"/>
      <c r="B19" s="20">
        <v>45292</v>
      </c>
      <c r="C19" s="21">
        <v>45323</v>
      </c>
      <c r="D19" s="21">
        <v>45352</v>
      </c>
      <c r="E19" s="21">
        <v>45383</v>
      </c>
      <c r="F19" s="21">
        <v>45413</v>
      </c>
      <c r="G19" s="21">
        <v>45444</v>
      </c>
      <c r="H19" s="21">
        <v>45474</v>
      </c>
      <c r="I19" s="21">
        <v>45505</v>
      </c>
      <c r="J19" s="21">
        <v>45536</v>
      </c>
      <c r="K19" s="21">
        <v>45566</v>
      </c>
      <c r="L19" s="21">
        <v>45597</v>
      </c>
      <c r="M19" s="30">
        <v>45627</v>
      </c>
      <c r="N19" s="29" t="s">
        <v>16</v>
      </c>
      <c r="O19" s="22">
        <v>45658</v>
      </c>
      <c r="P19" s="21">
        <v>45689</v>
      </c>
      <c r="Q19" s="21">
        <v>45717</v>
      </c>
      <c r="R19" s="21">
        <v>45748</v>
      </c>
      <c r="S19" s="21">
        <v>45778</v>
      </c>
      <c r="T19" s="21">
        <v>45809</v>
      </c>
      <c r="U19" s="21">
        <v>45839</v>
      </c>
      <c r="V19" s="21">
        <v>45870</v>
      </c>
      <c r="W19" s="21">
        <v>45901</v>
      </c>
      <c r="X19" s="21">
        <v>45931</v>
      </c>
      <c r="Y19" s="21">
        <v>45962</v>
      </c>
      <c r="Z19" s="30">
        <v>45992</v>
      </c>
      <c r="AA19" s="29" t="s">
        <v>17</v>
      </c>
      <c r="AB19" s="22">
        <v>46023</v>
      </c>
      <c r="AC19" s="21">
        <v>46054</v>
      </c>
      <c r="AD19" s="30">
        <v>46082</v>
      </c>
      <c r="AE19" s="41" t="s">
        <v>18</v>
      </c>
    </row>
    <row r="20" spans="1:31" s="7" customFormat="1" ht="25" customHeight="1" x14ac:dyDescent="0.25">
      <c r="A20" s="14" t="s">
        <v>1</v>
      </c>
      <c r="B20" s="18">
        <f>B4-B12</f>
        <v>323187.56000000006</v>
      </c>
      <c r="C20" s="19">
        <f t="shared" ref="C20:M20" si="4">C4-C12</f>
        <v>314837.14</v>
      </c>
      <c r="D20" s="19">
        <f t="shared" si="4"/>
        <v>385561.56999999995</v>
      </c>
      <c r="E20" s="19">
        <f t="shared" si="4"/>
        <v>328313.04000000004</v>
      </c>
      <c r="F20" s="19">
        <f t="shared" si="4"/>
        <v>349485.72499999998</v>
      </c>
      <c r="G20" s="19">
        <f t="shared" si="4"/>
        <v>331863.95999999996</v>
      </c>
      <c r="H20" s="19">
        <f t="shared" si="4"/>
        <v>407518.47</v>
      </c>
      <c r="I20" s="19">
        <f t="shared" si="4"/>
        <v>307115.06990000012</v>
      </c>
      <c r="J20" s="19">
        <f t="shared" si="4"/>
        <v>398638.68609499978</v>
      </c>
      <c r="K20" s="19">
        <f t="shared" si="4"/>
        <v>412342.25199833338</v>
      </c>
      <c r="L20" s="19">
        <f t="shared" si="4"/>
        <v>392971.159331111</v>
      </c>
      <c r="M20" s="32">
        <f t="shared" si="4"/>
        <v>425325.68247481482</v>
      </c>
      <c r="N20" s="31">
        <f>SUM(B20:M20)</f>
        <v>4377160.3147992585</v>
      </c>
      <c r="O20" s="18">
        <f>O4-O12</f>
        <v>334176.77282846556</v>
      </c>
      <c r="P20" s="19">
        <f t="shared" ref="P20:Z20" si="5">P4-P12</f>
        <v>383992.97</v>
      </c>
      <c r="Q20" s="19">
        <f t="shared" si="5"/>
        <v>429933.28489999997</v>
      </c>
      <c r="R20" s="19">
        <f t="shared" si="5"/>
        <v>409538.61530000006</v>
      </c>
      <c r="S20" s="19">
        <f t="shared" si="5"/>
        <v>373776.72499999998</v>
      </c>
      <c r="T20" s="19">
        <f t="shared" si="5"/>
        <v>378557.69310000003</v>
      </c>
      <c r="U20" s="19">
        <f t="shared" si="5"/>
        <v>291465.04067499982</v>
      </c>
      <c r="V20" s="19">
        <f t="shared" si="5"/>
        <v>443577.34699870972</v>
      </c>
      <c r="W20" s="19">
        <f t="shared" si="5"/>
        <v>331308.77384164219</v>
      </c>
      <c r="X20" s="19">
        <f t="shared" si="5"/>
        <v>285994.49517630413</v>
      </c>
      <c r="Y20" s="19">
        <f t="shared" si="5"/>
        <v>314059</v>
      </c>
      <c r="Z20" s="39">
        <f t="shared" si="5"/>
        <v>348453.03548051952</v>
      </c>
      <c r="AA20" s="31">
        <f>SUM(O20:Z20)</f>
        <v>4324833.7533006407</v>
      </c>
      <c r="AB20" s="18">
        <f t="shared" ref="AB20:AD24" si="6">AB4-AB12</f>
        <v>331468.79356005602</v>
      </c>
      <c r="AC20" s="19">
        <f t="shared" si="6"/>
        <v>264432.08100000094</v>
      </c>
      <c r="AD20" s="39">
        <f t="shared" si="6"/>
        <v>382296.68934022554</v>
      </c>
      <c r="AE20" s="42">
        <f>SUM(AB20:AD20)</f>
        <v>978197.56390028249</v>
      </c>
    </row>
    <row r="21" spans="1:31" s="7" customFormat="1" ht="25" customHeight="1" x14ac:dyDescent="0.25">
      <c r="A21" s="14" t="s">
        <v>2</v>
      </c>
      <c r="B21" s="11">
        <f t="shared" ref="B21:M21" si="7">B5-B13</f>
        <v>135721.00799999997</v>
      </c>
      <c r="C21" s="9">
        <f t="shared" si="7"/>
        <v>203266.30199999997</v>
      </c>
      <c r="D21" s="9">
        <f t="shared" si="7"/>
        <v>228759.65100000001</v>
      </c>
      <c r="E21" s="9">
        <f t="shared" si="7"/>
        <v>210927.47199999995</v>
      </c>
      <c r="F21" s="9">
        <f t="shared" si="7"/>
        <v>220941.71750000003</v>
      </c>
      <c r="G21" s="9">
        <f t="shared" si="7"/>
        <v>202338.42799999996</v>
      </c>
      <c r="H21" s="9">
        <f t="shared" si="7"/>
        <v>272320.62100000004</v>
      </c>
      <c r="I21" s="9">
        <f t="shared" si="7"/>
        <v>187206.26457</v>
      </c>
      <c r="J21" s="9">
        <f t="shared" si="7"/>
        <v>252680.76440849982</v>
      </c>
      <c r="K21" s="9">
        <f t="shared" si="7"/>
        <v>282630.87632616668</v>
      </c>
      <c r="L21" s="9">
        <f t="shared" si="7"/>
        <v>218568.74210155552</v>
      </c>
      <c r="M21" s="34">
        <f t="shared" si="7"/>
        <v>282060.18927874067</v>
      </c>
      <c r="N21" s="33">
        <f>SUM(B21:M21)</f>
        <v>2697422.0361849628</v>
      </c>
      <c r="O21" s="11">
        <f t="shared" ref="O21:Z21" si="8">O5-O13</f>
        <v>186589.749240709</v>
      </c>
      <c r="P21" s="9">
        <f t="shared" si="8"/>
        <v>214389.071</v>
      </c>
      <c r="Q21" s="9">
        <f t="shared" si="8"/>
        <v>267357.98907000001</v>
      </c>
      <c r="R21" s="9">
        <f t="shared" si="8"/>
        <v>252544.35378999996</v>
      </c>
      <c r="S21" s="9">
        <f t="shared" si="8"/>
        <v>205484.41749999998</v>
      </c>
      <c r="T21" s="9">
        <f t="shared" si="8"/>
        <v>235172.59633000003</v>
      </c>
      <c r="U21" s="9">
        <f t="shared" si="8"/>
        <v>188714.91790250002</v>
      </c>
      <c r="V21" s="9">
        <f t="shared" si="8"/>
        <v>231261.73937187099</v>
      </c>
      <c r="W21" s="9">
        <f t="shared" si="8"/>
        <v>255501.38384164218</v>
      </c>
      <c r="X21" s="9">
        <f t="shared" si="8"/>
        <v>195441.0300763041</v>
      </c>
      <c r="Y21" s="9">
        <f t="shared" si="8"/>
        <v>208743</v>
      </c>
      <c r="Z21" s="34">
        <f t="shared" si="8"/>
        <v>239204.06519480527</v>
      </c>
      <c r="AA21" s="33">
        <f>SUM(O21:Z21)</f>
        <v>2680404.3133178316</v>
      </c>
      <c r="AB21" s="11">
        <f t="shared" si="6"/>
        <v>153054.71527434175</v>
      </c>
      <c r="AC21" s="9">
        <f t="shared" si="6"/>
        <v>151129.28399999999</v>
      </c>
      <c r="AD21" s="34">
        <f t="shared" si="6"/>
        <v>238853.45200000005</v>
      </c>
      <c r="AE21" s="43">
        <f>SUM(AB21:AD21)</f>
        <v>543037.45127434179</v>
      </c>
    </row>
    <row r="22" spans="1:31" s="7" customFormat="1" ht="25" customHeight="1" x14ac:dyDescent="0.25">
      <c r="A22" s="14" t="s">
        <v>3</v>
      </c>
      <c r="B22" s="11">
        <f t="shared" ref="B22:M22" si="9">B6-B14</f>
        <v>135046.84000000003</v>
      </c>
      <c r="C22" s="9">
        <f t="shared" si="9"/>
        <v>120574.95999999999</v>
      </c>
      <c r="D22" s="9">
        <f t="shared" si="9"/>
        <v>142727.47999999998</v>
      </c>
      <c r="E22" s="9">
        <f t="shared" si="9"/>
        <v>127902.56</v>
      </c>
      <c r="F22" s="9">
        <f t="shared" si="9"/>
        <v>120346.9</v>
      </c>
      <c r="G22" s="9">
        <f t="shared" si="9"/>
        <v>128965.44</v>
      </c>
      <c r="H22" s="9">
        <f t="shared" si="9"/>
        <v>162412.08000000002</v>
      </c>
      <c r="I22" s="9">
        <f t="shared" si="9"/>
        <v>129959.84360000002</v>
      </c>
      <c r="J22" s="9">
        <f t="shared" si="9"/>
        <v>142011.15857999993</v>
      </c>
      <c r="K22" s="9">
        <f t="shared" si="9"/>
        <v>160605.00072666665</v>
      </c>
      <c r="L22" s="9">
        <f t="shared" si="9"/>
        <v>134937.69430222223</v>
      </c>
      <c r="M22" s="34">
        <f t="shared" si="9"/>
        <v>158034.8845362963</v>
      </c>
      <c r="N22" s="33">
        <f>SUM(B22:M22)</f>
        <v>1663524.8417451854</v>
      </c>
      <c r="O22" s="11">
        <f t="shared" ref="O22:Z22" si="10">O6-O14</f>
        <v>106582.9173921693</v>
      </c>
      <c r="P22" s="9">
        <f t="shared" si="10"/>
        <v>126229.08000000002</v>
      </c>
      <c r="Q22" s="9">
        <f t="shared" si="10"/>
        <v>148021.10359999997</v>
      </c>
      <c r="R22" s="9">
        <f t="shared" si="10"/>
        <v>138896.76919999998</v>
      </c>
      <c r="S22" s="9">
        <f t="shared" si="10"/>
        <v>114449.90000000002</v>
      </c>
      <c r="T22" s="9">
        <f t="shared" si="10"/>
        <v>129954.8884</v>
      </c>
      <c r="U22" s="9">
        <f t="shared" si="10"/>
        <v>118625.10570000001</v>
      </c>
      <c r="V22" s="9">
        <f t="shared" si="10"/>
        <v>151326.0352722581</v>
      </c>
      <c r="W22" s="9">
        <f t="shared" si="10"/>
        <v>144028.63384164212</v>
      </c>
      <c r="X22" s="9">
        <f t="shared" si="10"/>
        <v>99860.625076304073</v>
      </c>
      <c r="Y22" s="9">
        <f t="shared" si="10"/>
        <v>103556</v>
      </c>
      <c r="Z22" s="34">
        <f t="shared" si="10"/>
        <v>142889.98519480525</v>
      </c>
      <c r="AA22" s="33">
        <f>SUM(O22:Z22)</f>
        <v>1524421.0436771789</v>
      </c>
      <c r="AB22" s="11">
        <f t="shared" si="6"/>
        <v>125141.5952743417</v>
      </c>
      <c r="AC22" s="9">
        <f t="shared" si="6"/>
        <v>97253.043999999994</v>
      </c>
      <c r="AD22" s="34">
        <f t="shared" si="6"/>
        <v>157056.212</v>
      </c>
      <c r="AE22" s="43">
        <f>SUM(AB22:AD22)</f>
        <v>379450.85127434169</v>
      </c>
    </row>
    <row r="23" spans="1:31" s="7" customFormat="1" ht="25" customHeight="1" thickBot="1" x14ac:dyDescent="0.3">
      <c r="A23" s="15" t="s">
        <v>4</v>
      </c>
      <c r="B23" s="26">
        <f t="shared" ref="B23:M23" si="11">B7-B15</f>
        <v>106190.51200000005</v>
      </c>
      <c r="C23" s="27">
        <f t="shared" si="11"/>
        <v>117164</v>
      </c>
      <c r="D23" s="27">
        <f t="shared" si="11"/>
        <v>147796.78900000005</v>
      </c>
      <c r="E23" s="27">
        <f t="shared" si="11"/>
        <v>119801.20799999998</v>
      </c>
      <c r="F23" s="27">
        <f t="shared" si="11"/>
        <v>51311.982499999984</v>
      </c>
      <c r="G23" s="27">
        <f t="shared" si="11"/>
        <v>99176.892000000051</v>
      </c>
      <c r="H23" s="27">
        <f t="shared" si="11"/>
        <v>137679.61900000001</v>
      </c>
      <c r="I23" s="27">
        <f t="shared" si="11"/>
        <v>91369.266230000008</v>
      </c>
      <c r="J23" s="27">
        <f t="shared" si="11"/>
        <v>136110.71133149992</v>
      </c>
      <c r="K23" s="27">
        <f t="shared" si="11"/>
        <v>150387.12585383333</v>
      </c>
      <c r="L23" s="27">
        <f t="shared" si="11"/>
        <v>127456.3408051111</v>
      </c>
      <c r="M23" s="36">
        <f t="shared" si="11"/>
        <v>153580.46433014818</v>
      </c>
      <c r="N23" s="35">
        <f>SUM(B23:M23)</f>
        <v>1438024.9110505923</v>
      </c>
      <c r="O23" s="28">
        <f t="shared" ref="O23:Z23" si="12">O7-O15</f>
        <v>165791.00293579901</v>
      </c>
      <c r="P23" s="27">
        <f t="shared" si="12"/>
        <v>118751.16899999999</v>
      </c>
      <c r="Q23" s="27">
        <f t="shared" si="12"/>
        <v>155911.32173000003</v>
      </c>
      <c r="R23" s="27">
        <f t="shared" si="12"/>
        <v>140078.95380999998</v>
      </c>
      <c r="S23" s="27">
        <f t="shared" si="12"/>
        <v>122216.28249999997</v>
      </c>
      <c r="T23" s="27">
        <f t="shared" si="12"/>
        <v>119431.06887000002</v>
      </c>
      <c r="U23" s="27">
        <f t="shared" si="12"/>
        <v>134385.39919750002</v>
      </c>
      <c r="V23" s="27">
        <f t="shared" si="12"/>
        <v>134007.36644490325</v>
      </c>
      <c r="W23" s="27">
        <f t="shared" si="12"/>
        <v>180059.33384164219</v>
      </c>
      <c r="X23" s="27">
        <f t="shared" si="12"/>
        <v>160312.38707630412</v>
      </c>
      <c r="Y23" s="27">
        <f t="shared" si="12"/>
        <v>154039</v>
      </c>
      <c r="Z23" s="36">
        <f t="shared" si="12"/>
        <v>172410.63</v>
      </c>
      <c r="AA23" s="35">
        <f>SUM(O23:Z23)</f>
        <v>1757393.9154061484</v>
      </c>
      <c r="AB23" s="28">
        <f t="shared" si="6"/>
        <v>157407.90927434171</v>
      </c>
      <c r="AC23" s="27">
        <f t="shared" si="6"/>
        <v>118791.647</v>
      </c>
      <c r="AD23" s="36">
        <f t="shared" si="6"/>
        <v>180057.76500000001</v>
      </c>
      <c r="AE23" s="44">
        <f>SUM(AB23:AD23)</f>
        <v>456257.32127434172</v>
      </c>
    </row>
    <row r="24" spans="1:31" s="7" customFormat="1" ht="25" customHeight="1" thickBot="1" x14ac:dyDescent="0.3">
      <c r="A24" s="23" t="s">
        <v>13</v>
      </c>
      <c r="B24" s="24">
        <f t="shared" ref="B24:M24" si="13">B8-B16</f>
        <v>700145.92000000016</v>
      </c>
      <c r="C24" s="25">
        <f t="shared" si="13"/>
        <v>755842.402</v>
      </c>
      <c r="D24" s="25">
        <f t="shared" si="13"/>
        <v>904845.49</v>
      </c>
      <c r="E24" s="25">
        <f t="shared" si="13"/>
        <v>786944.28000000026</v>
      </c>
      <c r="F24" s="25">
        <f t="shared" si="13"/>
        <v>742086.32499999972</v>
      </c>
      <c r="G24" s="25">
        <f t="shared" si="13"/>
        <v>762344.71999999974</v>
      </c>
      <c r="H24" s="25">
        <f t="shared" si="13"/>
        <v>979930.79</v>
      </c>
      <c r="I24" s="25">
        <f t="shared" si="13"/>
        <v>715650.44430000009</v>
      </c>
      <c r="J24" s="25">
        <f t="shared" si="13"/>
        <v>929441.32041499973</v>
      </c>
      <c r="K24" s="25">
        <f t="shared" si="13"/>
        <v>1005965.2549049999</v>
      </c>
      <c r="L24" s="25">
        <f t="shared" si="13"/>
        <v>873933.93653999968</v>
      </c>
      <c r="M24" s="38">
        <f t="shared" si="13"/>
        <v>1019001.22062</v>
      </c>
      <c r="N24" s="37">
        <f>SUM(B24:M24)</f>
        <v>10176132.103780001</v>
      </c>
      <c r="O24" s="24">
        <f t="shared" ref="O24:Z24" si="14">O8-O16</f>
        <v>793140.44239714299</v>
      </c>
      <c r="P24" s="25">
        <f t="shared" si="14"/>
        <v>843362.29</v>
      </c>
      <c r="Q24" s="25">
        <f t="shared" si="14"/>
        <v>1001223.6993</v>
      </c>
      <c r="R24" s="25">
        <f t="shared" si="14"/>
        <v>941058.6921000001</v>
      </c>
      <c r="S24" s="25">
        <f t="shared" si="14"/>
        <v>815927.32499999995</v>
      </c>
      <c r="T24" s="25">
        <f t="shared" si="14"/>
        <v>863116.24670000025</v>
      </c>
      <c r="U24" s="25">
        <f t="shared" si="14"/>
        <v>733190.46347499988</v>
      </c>
      <c r="V24" s="25">
        <f t="shared" si="14"/>
        <v>960172.48808774212</v>
      </c>
      <c r="W24" s="25">
        <f t="shared" si="14"/>
        <v>910898.12536656868</v>
      </c>
      <c r="X24" s="25">
        <f t="shared" si="14"/>
        <v>741608.53740521637</v>
      </c>
      <c r="Y24" s="25">
        <f t="shared" si="14"/>
        <v>780397</v>
      </c>
      <c r="Z24" s="40">
        <f t="shared" si="14"/>
        <v>902957.71587013034</v>
      </c>
      <c r="AA24" s="37">
        <f>SUM(O24:Z24)</f>
        <v>10287053.025701802</v>
      </c>
      <c r="AB24" s="24">
        <f t="shared" si="6"/>
        <v>767073.01338308142</v>
      </c>
      <c r="AC24" s="25">
        <f t="shared" si="6"/>
        <v>631606.0560000008</v>
      </c>
      <c r="AD24" s="40">
        <f t="shared" si="6"/>
        <v>958264.11834022542</v>
      </c>
      <c r="AE24" s="45">
        <f>SUM(AB24:AD24)</f>
        <v>2356943.1877233079</v>
      </c>
    </row>
    <row r="26" spans="1:31" s="7" customFormat="1" ht="25" customHeight="1" thickBot="1" x14ac:dyDescent="0.3">
      <c r="A26" s="12" t="s">
        <v>20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7"/>
    </row>
    <row r="27" spans="1:31" s="7" customFormat="1" ht="34" customHeight="1" thickBot="1" x14ac:dyDescent="0.3">
      <c r="A27" s="13"/>
      <c r="B27" s="20">
        <v>45292</v>
      </c>
      <c r="C27" s="21">
        <v>45323</v>
      </c>
      <c r="D27" s="21">
        <v>45352</v>
      </c>
      <c r="E27" s="21">
        <v>45383</v>
      </c>
      <c r="F27" s="21">
        <v>45413</v>
      </c>
      <c r="G27" s="21">
        <v>45444</v>
      </c>
      <c r="H27" s="21">
        <v>45474</v>
      </c>
      <c r="I27" s="21">
        <v>45505</v>
      </c>
      <c r="J27" s="21">
        <v>45536</v>
      </c>
      <c r="K27" s="21">
        <v>45566</v>
      </c>
      <c r="L27" s="21">
        <v>45597</v>
      </c>
      <c r="M27" s="30">
        <v>45627</v>
      </c>
      <c r="N27" s="59" t="s">
        <v>23</v>
      </c>
      <c r="O27" s="22">
        <v>45658</v>
      </c>
      <c r="P27" s="21">
        <v>45689</v>
      </c>
      <c r="Q27" s="21">
        <v>45717</v>
      </c>
      <c r="R27" s="21">
        <v>45748</v>
      </c>
      <c r="S27" s="21">
        <v>45778</v>
      </c>
      <c r="T27" s="21">
        <v>45809</v>
      </c>
      <c r="U27" s="21">
        <v>45839</v>
      </c>
      <c r="V27" s="21">
        <v>45870</v>
      </c>
      <c r="W27" s="21">
        <v>45901</v>
      </c>
      <c r="X27" s="21">
        <v>45931</v>
      </c>
      <c r="Y27" s="21">
        <v>45962</v>
      </c>
      <c r="Z27" s="30">
        <v>45992</v>
      </c>
      <c r="AA27" s="59" t="s">
        <v>22</v>
      </c>
      <c r="AB27" s="22">
        <v>46023</v>
      </c>
      <c r="AC27" s="21">
        <v>46054</v>
      </c>
      <c r="AD27" s="30">
        <v>46082</v>
      </c>
      <c r="AE27" s="60" t="s">
        <v>24</v>
      </c>
    </row>
    <row r="28" spans="1:31" s="7" customFormat="1" ht="25" customHeight="1" x14ac:dyDescent="0.25">
      <c r="A28" s="14" t="s">
        <v>1</v>
      </c>
      <c r="B28" s="47">
        <f>(B20/B4)</f>
        <v>0.43949536809534634</v>
      </c>
      <c r="C28" s="48">
        <f t="shared" ref="C28:M28" si="15">(C20/C4)</f>
        <v>0.44146085328130358</v>
      </c>
      <c r="D28" s="48">
        <f t="shared" si="15"/>
        <v>0.5028710394453092</v>
      </c>
      <c r="E28" s="48">
        <f t="shared" si="15"/>
        <v>0.44121393168973361</v>
      </c>
      <c r="F28" s="48">
        <f t="shared" si="15"/>
        <v>0.48726963064882461</v>
      </c>
      <c r="G28" s="48">
        <f t="shared" si="15"/>
        <v>0.46424281817124252</v>
      </c>
      <c r="H28" s="48">
        <f t="shared" si="15"/>
        <v>0.52105108898769503</v>
      </c>
      <c r="I28" s="48">
        <f t="shared" si="15"/>
        <v>0.43875582773922195</v>
      </c>
      <c r="J28" s="48">
        <f t="shared" si="15"/>
        <v>0.5193389289295266</v>
      </c>
      <c r="K28" s="48">
        <f t="shared" si="15"/>
        <v>0.50677697244459685</v>
      </c>
      <c r="L28" s="48">
        <f t="shared" si="15"/>
        <v>0.50294504210243773</v>
      </c>
      <c r="M28" s="49">
        <f t="shared" si="15"/>
        <v>0.53077622522816381</v>
      </c>
      <c r="N28" s="64">
        <f>SUM(B28:M28)/12</f>
        <v>0.48301647723028346</v>
      </c>
      <c r="O28" s="47">
        <f>(O20/O4)</f>
        <v>0.44007526413722897</v>
      </c>
      <c r="P28" s="48">
        <f t="shared" ref="P28:Z28" si="16">(P20/P4)</f>
        <v>0.50273364460010905</v>
      </c>
      <c r="Q28" s="48">
        <f t="shared" si="16"/>
        <v>0.51227889815710803</v>
      </c>
      <c r="R28" s="48">
        <f t="shared" si="16"/>
        <v>0.51744138350295499</v>
      </c>
      <c r="S28" s="48">
        <f t="shared" si="16"/>
        <v>0.49230266553119167</v>
      </c>
      <c r="T28" s="48">
        <f t="shared" si="16"/>
        <v>0.48782849979841214</v>
      </c>
      <c r="U28" s="48">
        <f t="shared" si="16"/>
        <v>0.4714462139036309</v>
      </c>
      <c r="V28" s="48">
        <f t="shared" si="16"/>
        <v>0.55365342067306444</v>
      </c>
      <c r="W28" s="48">
        <f t="shared" si="16"/>
        <v>0.45471243376622383</v>
      </c>
      <c r="X28" s="48">
        <f t="shared" si="16"/>
        <v>0.41881772101158643</v>
      </c>
      <c r="Y28" s="48">
        <f t="shared" si="16"/>
        <v>0.42914142746071154</v>
      </c>
      <c r="Z28" s="49">
        <f t="shared" si="16"/>
        <v>0.47311440687645984</v>
      </c>
      <c r="AA28" s="64">
        <f>SUM(O28:Z28)/12</f>
        <v>0.47946216495155686</v>
      </c>
      <c r="AB28" s="47">
        <f t="shared" ref="AB28:AD31" si="17">(AB20/AB4)</f>
        <v>0.43799031967541152</v>
      </c>
      <c r="AC28" s="48">
        <f t="shared" si="17"/>
        <v>0.40259132705074119</v>
      </c>
      <c r="AD28" s="49">
        <f t="shared" si="17"/>
        <v>0.4952538448826671</v>
      </c>
      <c r="AE28" s="71">
        <f>SUM(AB28:AD28)/3</f>
        <v>0.44527849720293994</v>
      </c>
    </row>
    <row r="29" spans="1:31" s="7" customFormat="1" ht="25" customHeight="1" x14ac:dyDescent="0.25">
      <c r="A29" s="14" t="s">
        <v>2</v>
      </c>
      <c r="B29" s="54">
        <f t="shared" ref="B29:M29" si="18">(B21/B5)</f>
        <v>0.27810997634304108</v>
      </c>
      <c r="C29" s="50">
        <f t="shared" si="18"/>
        <v>0.42947852312869172</v>
      </c>
      <c r="D29" s="50">
        <f t="shared" si="18"/>
        <v>0.44958533383897287</v>
      </c>
      <c r="E29" s="50">
        <f t="shared" si="18"/>
        <v>0.42713391598718486</v>
      </c>
      <c r="F29" s="50">
        <f t="shared" si="18"/>
        <v>0.46418110061128559</v>
      </c>
      <c r="G29" s="50">
        <f t="shared" si="18"/>
        <v>0.42651400811973966</v>
      </c>
      <c r="H29" s="50">
        <f t="shared" si="18"/>
        <v>0.52466653536289765</v>
      </c>
      <c r="I29" s="50">
        <f t="shared" si="18"/>
        <v>0.40300642797054481</v>
      </c>
      <c r="J29" s="50">
        <f t="shared" si="18"/>
        <v>0.49603628046806297</v>
      </c>
      <c r="K29" s="50">
        <f t="shared" si="18"/>
        <v>0.52341777177196025</v>
      </c>
      <c r="L29" s="50">
        <f t="shared" si="18"/>
        <v>0.42151955892432413</v>
      </c>
      <c r="M29" s="51">
        <f t="shared" si="18"/>
        <v>0.53039750443928801</v>
      </c>
      <c r="N29" s="64">
        <f>SUM(B29:M29)/12</f>
        <v>0.44783724474716613</v>
      </c>
      <c r="O29" s="54">
        <f t="shared" ref="O29:Z29" si="19">(O21/O5)</f>
        <v>0.35612757646950244</v>
      </c>
      <c r="P29" s="50">
        <f t="shared" si="19"/>
        <v>0.42294816444268268</v>
      </c>
      <c r="Q29" s="50">
        <f t="shared" si="19"/>
        <v>0.48003000985118888</v>
      </c>
      <c r="R29" s="50">
        <f t="shared" si="19"/>
        <v>0.48081033053803857</v>
      </c>
      <c r="S29" s="50">
        <f t="shared" si="19"/>
        <v>0.407820123119713</v>
      </c>
      <c r="T29" s="50">
        <f t="shared" si="19"/>
        <v>0.45665859007695953</v>
      </c>
      <c r="U29" s="50">
        <f t="shared" si="19"/>
        <v>0.45996177200234861</v>
      </c>
      <c r="V29" s="50">
        <f t="shared" si="19"/>
        <v>0.43495291038235195</v>
      </c>
      <c r="W29" s="50">
        <f t="shared" si="19"/>
        <v>0.48111822114845315</v>
      </c>
      <c r="X29" s="50">
        <f t="shared" si="19"/>
        <v>0.37806341912234526</v>
      </c>
      <c r="Y29" s="50">
        <f t="shared" si="19"/>
        <v>0.40581792307572673</v>
      </c>
      <c r="Z29" s="51">
        <f t="shared" si="19"/>
        <v>0.45735947308439684</v>
      </c>
      <c r="AA29" s="64">
        <f>SUM(O29:Z29)/12</f>
        <v>0.43513904277614235</v>
      </c>
      <c r="AB29" s="54">
        <f t="shared" si="17"/>
        <v>0.28441445767725021</v>
      </c>
      <c r="AC29" s="50">
        <f t="shared" si="17"/>
        <v>0.32796279363073572</v>
      </c>
      <c r="AD29" s="51">
        <f t="shared" si="17"/>
        <v>0.43740169225439662</v>
      </c>
      <c r="AE29" s="72">
        <f>SUM(AB29:AD29)/3</f>
        <v>0.3499263145207942</v>
      </c>
    </row>
    <row r="30" spans="1:31" s="7" customFormat="1" ht="25" customHeight="1" x14ac:dyDescent="0.25">
      <c r="A30" s="14" t="s">
        <v>3</v>
      </c>
      <c r="B30" s="54">
        <f t="shared" ref="B30:M30" si="20">(B22/B6)</f>
        <v>0.50502954632214714</v>
      </c>
      <c r="C30" s="50">
        <f t="shared" si="20"/>
        <v>0.46493908881394164</v>
      </c>
      <c r="D30" s="50">
        <f t="shared" si="20"/>
        <v>0.51192127270043108</v>
      </c>
      <c r="E30" s="50">
        <f t="shared" si="20"/>
        <v>0.47268630045779064</v>
      </c>
      <c r="F30" s="50">
        <f t="shared" si="20"/>
        <v>0.46143178282892766</v>
      </c>
      <c r="G30" s="50">
        <f t="shared" si="20"/>
        <v>0.4961250330069264</v>
      </c>
      <c r="H30" s="50">
        <f t="shared" si="20"/>
        <v>0.57106301380421054</v>
      </c>
      <c r="I30" s="50">
        <f t="shared" si="20"/>
        <v>0.51057981823522036</v>
      </c>
      <c r="J30" s="50">
        <f t="shared" si="20"/>
        <v>0.50877598011738567</v>
      </c>
      <c r="K30" s="50">
        <f t="shared" si="20"/>
        <v>0.54281368933577367</v>
      </c>
      <c r="L30" s="50">
        <f t="shared" si="20"/>
        <v>0.47492587562475191</v>
      </c>
      <c r="M30" s="51">
        <f t="shared" si="20"/>
        <v>0.54234483842191972</v>
      </c>
      <c r="N30" s="64">
        <f>SUM(B30:M30)/12</f>
        <v>0.50521968663911887</v>
      </c>
      <c r="O30" s="54">
        <f t="shared" ref="O30:Z30" si="21">(O22/O6)</f>
        <v>0.38598550431530748</v>
      </c>
      <c r="P30" s="50">
        <f t="shared" si="21"/>
        <v>0.45447164037411036</v>
      </c>
      <c r="Q30" s="50">
        <f t="shared" si="21"/>
        <v>0.4850223253895587</v>
      </c>
      <c r="R30" s="50">
        <f t="shared" si="21"/>
        <v>0.48260424723881024</v>
      </c>
      <c r="S30" s="50">
        <f t="shared" si="21"/>
        <v>0.4145415282596594</v>
      </c>
      <c r="T30" s="50">
        <f t="shared" si="21"/>
        <v>0.46053263046608439</v>
      </c>
      <c r="U30" s="50">
        <f t="shared" si="21"/>
        <v>0.52766098902747383</v>
      </c>
      <c r="V30" s="50">
        <f t="shared" si="21"/>
        <v>0.51941558442672464</v>
      </c>
      <c r="W30" s="50">
        <f t="shared" si="21"/>
        <v>0.50593945079880498</v>
      </c>
      <c r="X30" s="50">
        <f t="shared" si="21"/>
        <v>0.37806858194391529</v>
      </c>
      <c r="Y30" s="50">
        <f t="shared" si="21"/>
        <v>0.39408019666716138</v>
      </c>
      <c r="Z30" s="51">
        <f t="shared" si="21"/>
        <v>0.48336516195430074</v>
      </c>
      <c r="AA30" s="64">
        <f>SUM(O30:Z30)/12</f>
        <v>0.4576406534051593</v>
      </c>
      <c r="AB30" s="54">
        <f t="shared" si="17"/>
        <v>0.41098403447739557</v>
      </c>
      <c r="AC30" s="50">
        <f t="shared" si="17"/>
        <v>0.37561758674787549</v>
      </c>
      <c r="AD30" s="51">
        <f t="shared" si="17"/>
        <v>0.50884854729988005</v>
      </c>
      <c r="AE30" s="72">
        <f>SUM(AB30:AD30)/3</f>
        <v>0.43181672284171707</v>
      </c>
    </row>
    <row r="31" spans="1:31" s="7" customFormat="1" ht="25" customHeight="1" thickBot="1" x14ac:dyDescent="0.3">
      <c r="A31" s="15" t="s">
        <v>4</v>
      </c>
      <c r="B31" s="55">
        <f t="shared" ref="B31:M31" si="22">(B23/B7)</f>
        <v>0.33797160066881338</v>
      </c>
      <c r="C31" s="52">
        <f t="shared" si="22"/>
        <v>0.37054466561667837</v>
      </c>
      <c r="D31" s="52">
        <f t="shared" si="22"/>
        <v>0.45115181729197423</v>
      </c>
      <c r="E31" s="52">
        <f t="shared" si="22"/>
        <v>0.37680539230631782</v>
      </c>
      <c r="F31" s="52">
        <f t="shared" si="22"/>
        <v>0.16743780609866926</v>
      </c>
      <c r="G31" s="52">
        <f t="shared" si="22"/>
        <v>0.32470608267609896</v>
      </c>
      <c r="H31" s="52">
        <f t="shared" si="22"/>
        <v>0.41200026325237843</v>
      </c>
      <c r="I31" s="52">
        <f t="shared" si="22"/>
        <v>0.30550388326652056</v>
      </c>
      <c r="J31" s="52">
        <f t="shared" si="22"/>
        <v>0.41501000436569013</v>
      </c>
      <c r="K31" s="52">
        <f t="shared" si="22"/>
        <v>0.43257809198316205</v>
      </c>
      <c r="L31" s="52">
        <f t="shared" si="22"/>
        <v>0.38178259579041507</v>
      </c>
      <c r="M31" s="53">
        <f t="shared" si="22"/>
        <v>0.44856011814233115</v>
      </c>
      <c r="N31" s="66">
        <f>SUM(B31:M31)/12</f>
        <v>0.36867102678825409</v>
      </c>
      <c r="O31" s="55">
        <f t="shared" ref="O31:Z31" si="23">(O23/O7)</f>
        <v>0.41608463117355327</v>
      </c>
      <c r="P31" s="52">
        <f t="shared" si="23"/>
        <v>0.36387096108779571</v>
      </c>
      <c r="Q31" s="52">
        <f t="shared" si="23"/>
        <v>0.43478832944929119</v>
      </c>
      <c r="R31" s="52">
        <f t="shared" si="23"/>
        <v>0.41422281773811609</v>
      </c>
      <c r="S31" s="52">
        <f t="shared" si="23"/>
        <v>0.37674181826443137</v>
      </c>
      <c r="T31" s="52">
        <f t="shared" si="23"/>
        <v>0.36020292811332993</v>
      </c>
      <c r="U31" s="52">
        <f t="shared" si="23"/>
        <v>0.4418313781444278</v>
      </c>
      <c r="V31" s="52">
        <f t="shared" si="23"/>
        <v>0.3914642691108019</v>
      </c>
      <c r="W31" s="52">
        <f t="shared" si="23"/>
        <v>0.46984869838994314</v>
      </c>
      <c r="X31" s="52">
        <f t="shared" si="23"/>
        <v>0.43889771201798128</v>
      </c>
      <c r="Y31" s="52">
        <f t="shared" si="23"/>
        <v>0.42386177899828847</v>
      </c>
      <c r="Z31" s="53">
        <f t="shared" si="23"/>
        <v>0.46658169846537911</v>
      </c>
      <c r="AA31" s="66">
        <f>SUM(O31:Z31)/12</f>
        <v>0.41653308507944492</v>
      </c>
      <c r="AB31" s="55">
        <f t="shared" si="17"/>
        <v>0.4137654084701462</v>
      </c>
      <c r="AC31" s="52">
        <f t="shared" si="17"/>
        <v>0.36604025554401476</v>
      </c>
      <c r="AD31" s="53">
        <f t="shared" si="17"/>
        <v>0.46669727218590085</v>
      </c>
      <c r="AE31" s="73">
        <f>SUM(AB31:AD31)/3</f>
        <v>0.41550097873335395</v>
      </c>
    </row>
    <row r="32" spans="1:31" s="7" customFormat="1" ht="25" customHeight="1" thickBot="1" x14ac:dyDescent="0.3">
      <c r="A32" s="23" t="s">
        <v>15</v>
      </c>
      <c r="B32" s="56">
        <f>SUM(B28:B31)/4</f>
        <v>0.39015162285733695</v>
      </c>
      <c r="C32" s="57">
        <f t="shared" ref="C32:M32" si="24">SUM(C28:C31)/4</f>
        <v>0.42660578271015381</v>
      </c>
      <c r="D32" s="57">
        <f t="shared" si="24"/>
        <v>0.47888236581917182</v>
      </c>
      <c r="E32" s="57">
        <f t="shared" si="24"/>
        <v>0.42945988511025668</v>
      </c>
      <c r="F32" s="57">
        <f t="shared" si="24"/>
        <v>0.39508008004692674</v>
      </c>
      <c r="G32" s="57">
        <f t="shared" si="24"/>
        <v>0.42789698549350191</v>
      </c>
      <c r="H32" s="57">
        <f t="shared" si="24"/>
        <v>0.5071952253517954</v>
      </c>
      <c r="I32" s="57">
        <f t="shared" si="24"/>
        <v>0.41446148930287696</v>
      </c>
      <c r="J32" s="57">
        <f t="shared" si="24"/>
        <v>0.48479029847016636</v>
      </c>
      <c r="K32" s="57">
        <f t="shared" si="24"/>
        <v>0.50139663138387314</v>
      </c>
      <c r="L32" s="57">
        <f t="shared" si="24"/>
        <v>0.4452932681104822</v>
      </c>
      <c r="M32" s="58">
        <f t="shared" si="24"/>
        <v>0.51301967155792572</v>
      </c>
      <c r="N32" s="65">
        <f>SUM(B32:M32)/12</f>
        <v>0.45118610885120553</v>
      </c>
      <c r="O32" s="56">
        <f t="shared" ref="O32:Z32" si="25">SUM(O28:O31)/4</f>
        <v>0.39956824402389807</v>
      </c>
      <c r="P32" s="57">
        <f t="shared" si="25"/>
        <v>0.43600610262617445</v>
      </c>
      <c r="Q32" s="57">
        <f t="shared" si="25"/>
        <v>0.4780298907117867</v>
      </c>
      <c r="R32" s="57">
        <f t="shared" si="25"/>
        <v>0.47376969475447994</v>
      </c>
      <c r="S32" s="57">
        <f t="shared" si="25"/>
        <v>0.42285153379374885</v>
      </c>
      <c r="T32" s="57">
        <f t="shared" si="25"/>
        <v>0.44130566211369648</v>
      </c>
      <c r="U32" s="57">
        <f t="shared" si="25"/>
        <v>0.4752250882694703</v>
      </c>
      <c r="V32" s="57">
        <f t="shared" si="25"/>
        <v>0.47487154614823573</v>
      </c>
      <c r="W32" s="57">
        <f t="shared" si="25"/>
        <v>0.47790470102585625</v>
      </c>
      <c r="X32" s="57">
        <f t="shared" si="25"/>
        <v>0.40346185852395711</v>
      </c>
      <c r="Y32" s="57">
        <f t="shared" si="25"/>
        <v>0.41322533155047203</v>
      </c>
      <c r="Z32" s="58">
        <f t="shared" si="25"/>
        <v>0.4701051850951341</v>
      </c>
      <c r="AA32" s="65">
        <f>SUM(O32:Z32)/12</f>
        <v>0.44719373655307587</v>
      </c>
      <c r="AB32" s="56">
        <f>SUM(AB28:AB31)/4</f>
        <v>0.38678855507505083</v>
      </c>
      <c r="AC32" s="57">
        <f>SUM(AC28:AC31)/4</f>
        <v>0.3680529907433418</v>
      </c>
      <c r="AD32" s="61">
        <f>SUM(AD28:AD31)/4</f>
        <v>0.47705033915571116</v>
      </c>
      <c r="AE32" s="74">
        <f>SUM(AB32:AD32)/3</f>
        <v>0.41063062832470126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Targets</vt:lpstr>
      <vt:lpstr>Customers</vt:lpstr>
      <vt:lpstr>Billing &amp; Collection</vt:lpstr>
      <vt:lpstr>NRW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Kwabena Nyarko Ansah</dc:creator>
  <cp:lastModifiedBy>Dennis  Acquaah-Nyarko</cp:lastModifiedBy>
  <dcterms:created xsi:type="dcterms:W3CDTF">2026-05-04T19:38:55Z</dcterms:created>
  <dcterms:modified xsi:type="dcterms:W3CDTF">2026-05-24T03:32:02Z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081cd2-4233-4a39-8d59-3f4486bb8c41_Enabled">
    <vt:lpwstr>true</vt:lpwstr>
  </property>
  <property fmtid="{D5CDD505-2E9C-101B-9397-08002B2CF9AE}" pid="3" name="MSIP_Label_1f081cd2-4233-4a39-8d59-3f4486bb8c41_SetDate">
    <vt:lpwstr>2026-05-04T19:46:00Z</vt:lpwstr>
  </property>
  <property fmtid="{D5CDD505-2E9C-101B-9397-08002B2CF9AE}" pid="4" name="MSIP_Label_1f081cd2-4233-4a39-8d59-3f4486bb8c41_Method">
    <vt:lpwstr>Standard</vt:lpwstr>
  </property>
  <property fmtid="{D5CDD505-2E9C-101B-9397-08002B2CF9AE}" pid="5" name="MSIP_Label_1f081cd2-4233-4a39-8d59-3f4486bb8c41_Name">
    <vt:lpwstr>Public</vt:lpwstr>
  </property>
  <property fmtid="{D5CDD505-2E9C-101B-9397-08002B2CF9AE}" pid="6" name="MSIP_Label_1f081cd2-4233-4a39-8d59-3f4486bb8c41_SiteId">
    <vt:lpwstr>4389ce00-5234-4972-a462-e3d0b87e6545</vt:lpwstr>
  </property>
  <property fmtid="{D5CDD505-2E9C-101B-9397-08002B2CF9AE}" pid="7" name="MSIP_Label_1f081cd2-4233-4a39-8d59-3f4486bb8c41_ActionId">
    <vt:lpwstr>4495db42-b2e7-47a7-ad00-1a7955775c6e</vt:lpwstr>
  </property>
  <property fmtid="{D5CDD505-2E9C-101B-9397-08002B2CF9AE}" pid="8" name="MSIP_Label_1f081cd2-4233-4a39-8d59-3f4486bb8c41_ContentBits">
    <vt:lpwstr>1</vt:lpwstr>
  </property>
  <property fmtid="{D5CDD505-2E9C-101B-9397-08002B2CF9AE}" pid="9" name="MSIP_Label_1f081cd2-4233-4a39-8d59-3f4486bb8c41_Tag">
    <vt:lpwstr>10, 3, 0, 1</vt:lpwstr>
  </property>
</Properties>
</file>